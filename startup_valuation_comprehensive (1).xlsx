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Comparison" sheetId="1" state="visible" r:id="rId3"/>
    <sheet name="Term Sheet Details" sheetId="2" state="visible" r:id="rId4"/>
    <sheet name="Sensitivity Analysis" sheetId="3" state="visible" r:id="rId5"/>
    <sheet name="Dilution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<sst xmlns="http://schemas.openxmlformats.org/spreadsheetml/2006/main" count="315" uniqueCount="182">
  <si>
    <t xml:space="preserve">STARTUP VALUATION - 8 SCENARIO COMPARISON</t>
  </si>
  <si>
    <t xml:space="preserve">From Best Case to Worst Case - Different Terms &amp; Conditions</t>
  </si>
  <si>
    <t xml:space="preserve">CURRENT COMPANY STATUS</t>
  </si>
  <si>
    <t xml:space="preserve">Current Shares Outstanding</t>
  </si>
  <si>
    <t xml:space="preserve">Pre-money valuation used for scenarios →</t>
  </si>
  <si>
    <t xml:space="preserve">SCENARIOS</t>
  </si>
  <si>
    <t xml:space="preserve">BEST
Unicorn
Terms</t>
  </si>
  <si>
    <t xml:space="preserve">GREAT
Top VC
Series A</t>
  </si>
  <si>
    <t xml:space="preserve">GOOD
Strong
Series A</t>
  </si>
  <si>
    <t xml:space="preserve">FAIR
Standard
Series A</t>
  </si>
  <si>
    <t xml:space="preserve">MODERATE
Hungry
Investor</t>
  </si>
  <si>
    <t xml:space="preserve">TOUGH
Down
Round</t>
  </si>
  <si>
    <t xml:space="preserve">DIFFICULT
Bridge
Round</t>
  </si>
  <si>
    <t xml:space="preserve">WORST
Desperate
Money</t>
  </si>
  <si>
    <t xml:space="preserve">DEAL TERMS</t>
  </si>
  <si>
    <t xml:space="preserve">Investment Amount ($)</t>
  </si>
  <si>
    <t xml:space="preserve">Target Equity %</t>
  </si>
  <si>
    <t xml:space="preserve">Liquidation Preference</t>
  </si>
  <si>
    <t xml:space="preserve">1x</t>
  </si>
  <si>
    <t xml:space="preserve">1.5x</t>
  </si>
  <si>
    <t xml:space="preserve">2x</t>
  </si>
  <si>
    <t xml:space="preserve">3x</t>
  </si>
  <si>
    <t xml:space="preserve">Participating Preferred?</t>
  </si>
  <si>
    <t xml:space="preserve">No</t>
  </si>
  <si>
    <t xml:space="preserve">Yes</t>
  </si>
  <si>
    <t xml:space="preserve">Valuation Cap (SAFEs)</t>
  </si>
  <si>
    <t xml:space="preserve">None</t>
  </si>
  <si>
    <t xml:space="preserve">$3M</t>
  </si>
  <si>
    <t xml:space="preserve">$2M</t>
  </si>
  <si>
    <t xml:space="preserve">$1.5M</t>
  </si>
  <si>
    <t xml:space="preserve">IMPLIED VALUATIONS</t>
  </si>
  <si>
    <t xml:space="preserve">Implied Pre-Money ($)</t>
  </si>
  <si>
    <t xml:space="preserve">Post-Money Valuation ($)</t>
  </si>
  <si>
    <t xml:space="preserve">vs. Base Pre-Money</t>
  </si>
  <si>
    <t xml:space="preserve">SHARE STRUCTURE</t>
  </si>
  <si>
    <t xml:space="preserve">Price per Share (Pre)</t>
  </si>
  <si>
    <t xml:space="preserve">New Shares Issued</t>
  </si>
  <si>
    <t xml:space="preserve">Total Shares Post</t>
  </si>
  <si>
    <t xml:space="preserve">Price per Share (Post)</t>
  </si>
  <si>
    <t xml:space="preserve">OWNERSHIP IMPACT</t>
  </si>
  <si>
    <t xml:space="preserve">Founders Keep %</t>
  </si>
  <si>
    <t xml:space="preserve">Investors Get %</t>
  </si>
  <si>
    <t xml:space="preserve">Dilution Impact</t>
  </si>
  <si>
    <t xml:space="preserve">Founders $ Value Post</t>
  </si>
  <si>
    <t xml:space="preserve">KEY DEAL METRICS</t>
  </si>
  <si>
    <t xml:space="preserve">$ per 1% Equity</t>
  </si>
  <si>
    <t xml:space="preserve">Entry Valuation Multiple</t>
  </si>
  <si>
    <t xml:space="preserve">Capital Efficiency Rank</t>
  </si>
  <si>
    <t xml:space="preserve">Best</t>
  </si>
  <si>
    <t xml:space="preserve">Excellent</t>
  </si>
  <si>
    <t xml:space="preserve">Good</t>
  </si>
  <si>
    <t xml:space="preserve">Fair</t>
  </si>
  <si>
    <t xml:space="preserve">Below Avg</t>
  </si>
  <si>
    <t xml:space="preserve">Poor</t>
  </si>
  <si>
    <t xml:space="preserve">Bad</t>
  </si>
  <si>
    <t xml:space="preserve">Worst</t>
  </si>
  <si>
    <t xml:space="preserve">DETAILED TERM SHEET COMPARISON</t>
  </si>
  <si>
    <t xml:space="preserve">SCENARIO</t>
  </si>
  <si>
    <t xml:space="preserve">BEST Unicorn Terms</t>
  </si>
  <si>
    <t xml:space="preserve">GREAT Top VC Series A</t>
  </si>
  <si>
    <t xml:space="preserve">GOOD Strong Series A</t>
  </si>
  <si>
    <t xml:space="preserve">FAIR Standard Series A</t>
  </si>
  <si>
    <t xml:space="preserve">MODERATE Hungry Investor</t>
  </si>
  <si>
    <t xml:space="preserve">TOUGH Down Round</t>
  </si>
  <si>
    <t xml:space="preserve">DIFFICULT Bridge Round</t>
  </si>
  <si>
    <t xml:space="preserve">WORST Desperate Money</t>
  </si>
  <si>
    <t xml:space="preserve">ECONOMIC TERMS</t>
  </si>
  <si>
    <t xml:space="preserve">Investment Amount</t>
  </si>
  <si>
    <t xml:space="preserve">$500K</t>
  </si>
  <si>
    <t xml:space="preserve">$1M</t>
  </si>
  <si>
    <t xml:space="preserve">$4M</t>
  </si>
  <si>
    <t xml:space="preserve">Equity Stake</t>
  </si>
  <si>
    <t xml:space="preserve">8%</t>
  </si>
  <si>
    <t xml:space="preserve">12%</t>
  </si>
  <si>
    <t xml:space="preserve">20%</t>
  </si>
  <si>
    <t xml:space="preserve">25%</t>
  </si>
  <si>
    <t xml:space="preserve">35%</t>
  </si>
  <si>
    <t xml:space="preserve">40%</t>
  </si>
  <si>
    <t xml:space="preserve">50%</t>
  </si>
  <si>
    <t xml:space="preserve">60%</t>
  </si>
  <si>
    <t xml:space="preserve">Pre-Money Valuation</t>
  </si>
  <si>
    <t xml:space="preserve">$5.8M</t>
  </si>
  <si>
    <t xml:space="preserve">$7.3M</t>
  </si>
  <si>
    <t xml:space="preserve">$8M</t>
  </si>
  <si>
    <t xml:space="preserve">$9M</t>
  </si>
  <si>
    <t xml:space="preserve">$7.4M</t>
  </si>
  <si>
    <t xml:space="preserve">Post-Money Valuation</t>
  </si>
  <si>
    <t xml:space="preserve">$6.3M</t>
  </si>
  <si>
    <t xml:space="preserve">$8.3M</t>
  </si>
  <si>
    <t xml:space="preserve">$10M</t>
  </si>
  <si>
    <t xml:space="preserve">$12M</t>
  </si>
  <si>
    <t xml:space="preserve">$11.4M</t>
  </si>
  <si>
    <t xml:space="preserve">$5M</t>
  </si>
  <si>
    <t xml:space="preserve">Participating?</t>
  </si>
  <si>
    <t xml:space="preserve">Participation Cap</t>
  </si>
  <si>
    <t xml:space="preserve">N/A</t>
  </si>
  <si>
    <t xml:space="preserve">CONTROL &amp; GOVERNANCE</t>
  </si>
  <si>
    <t xml:space="preserve">Board Seats (Investor)</t>
  </si>
  <si>
    <t xml:space="preserve">0</t>
  </si>
  <si>
    <t xml:space="preserve">1</t>
  </si>
  <si>
    <t xml:space="preserve">2</t>
  </si>
  <si>
    <t xml:space="preserve">3</t>
  </si>
  <si>
    <t xml:space="preserve">Board Control</t>
  </si>
  <si>
    <t xml:space="preserve">Founder</t>
  </si>
  <si>
    <t xml:space="preserve">Shared</t>
  </si>
  <si>
    <t xml:space="preserve">Investor</t>
  </si>
  <si>
    <t xml:space="preserve">Protective Provisions</t>
  </si>
  <si>
    <t xml:space="preserve">Standard</t>
  </si>
  <si>
    <t xml:space="preserve">Standard+</t>
  </si>
  <si>
    <t xml:space="preserve">Broad</t>
  </si>
  <si>
    <t xml:space="preserve">Very Broad</t>
  </si>
  <si>
    <t xml:space="preserve">Full</t>
  </si>
  <si>
    <t xml:space="preserve">Vesting Requirements</t>
  </si>
  <si>
    <t xml:space="preserve">Accelerated</t>
  </si>
  <si>
    <t xml:space="preserve">Full Revert</t>
  </si>
  <si>
    <t xml:space="preserve">Anti-Dilution</t>
  </si>
  <si>
    <t xml:space="preserve">Weighted</t>
  </si>
  <si>
    <t xml:space="preserve">Full Ratchet</t>
  </si>
  <si>
    <t xml:space="preserve">EXIT PROVISIONS</t>
  </si>
  <si>
    <t xml:space="preserve">Drag-Along Rights</t>
  </si>
  <si>
    <t xml:space="preserve">Tag-Along Rights</t>
  </si>
  <si>
    <t xml:space="preserve">Limited</t>
  </si>
  <si>
    <t xml:space="preserve">Redemption Rights</t>
  </si>
  <si>
    <t xml:space="preserve">5 yr</t>
  </si>
  <si>
    <t xml:space="preserve">3 yr</t>
  </si>
  <si>
    <t xml:space="preserve">2 yr</t>
  </si>
  <si>
    <t xml:space="preserve">1 yr</t>
  </si>
  <si>
    <t xml:space="preserve">Pay-to-Play</t>
  </si>
  <si>
    <t xml:space="preserve">Optional</t>
  </si>
  <si>
    <t xml:space="preserve">Required</t>
  </si>
  <si>
    <t xml:space="preserve">OVERALL TERM QUALITY</t>
  </si>
  <si>
    <t xml:space="preserve">Founder Friendliness</t>
  </si>
  <si>
    <t xml:space="preserve">★★★★★</t>
  </si>
  <si>
    <t xml:space="preserve">★★★★☆</t>
  </si>
  <si>
    <t xml:space="preserve">★★★☆☆</t>
  </si>
  <si>
    <t xml:space="preserve">★★☆☆☆</t>
  </si>
  <si>
    <t xml:space="preserve">★☆☆☆☆</t>
  </si>
  <si>
    <t xml:space="preserve">☆☆☆☆☆</t>
  </si>
  <si>
    <t xml:space="preserve">Recommendation</t>
  </si>
  <si>
    <t xml:space="preserve">TAKE IT</t>
  </si>
  <si>
    <t xml:space="preserve">EXCELLENT</t>
  </si>
  <si>
    <t xml:space="preserve">GOOD DEAL</t>
  </si>
  <si>
    <t xml:space="preserve">ACCEPTABLE</t>
  </si>
  <si>
    <t xml:space="preserve">CONSIDER</t>
  </si>
  <si>
    <t xml:space="preserve">CAUTION</t>
  </si>
  <si>
    <t xml:space="preserve">AVOID</t>
  </si>
  <si>
    <t xml:space="preserve">DESPERATE ONLY</t>
  </si>
  <si>
    <t xml:space="preserve">SENSITIVITY ANALYSIS</t>
  </si>
  <si>
    <t xml:space="preserve">How valuation changes with different investment amounts and equity %</t>
  </si>
  <si>
    <t xml:space="preserve">PRE-MONEY VALUATION SENSITIVITY</t>
  </si>
  <si>
    <t xml:space="preserve">Investment →</t>
  </si>
  <si>
    <t xml:space="preserve">Equity % ↓</t>
  </si>
  <si>
    <t xml:space="preserve">5%</t>
  </si>
  <si>
    <t xml:space="preserve">10%</t>
  </si>
  <si>
    <t xml:space="preserve">15%</t>
  </si>
  <si>
    <t xml:space="preserve">30%</t>
  </si>
  <si>
    <t xml:space="preserve">FOUNDER OWNERSHIP % AFTER INVESTMENT</t>
  </si>
  <si>
    <t xml:space="preserve">MULTI-ROUND DILUTION ANALYSIS</t>
  </si>
  <si>
    <t xml:space="preserve">How ownership evolves through multiple funding rounds</t>
  </si>
  <si>
    <t xml:space="preserve">ASSUMPTIONS</t>
  </si>
  <si>
    <t xml:space="preserve">Starting Founder Ownership</t>
  </si>
  <si>
    <t xml:space="preserve">DILUTION WATERFALL</t>
  </si>
  <si>
    <t xml:space="preserve">Round</t>
  </si>
  <si>
    <t xml:space="preserve">New Equity %</t>
  </si>
  <si>
    <t xml:space="preserve">Amount Raised</t>
  </si>
  <si>
    <t xml:space="preserve">Founder % After</t>
  </si>
  <si>
    <t xml:space="preserve">Start (Founders)</t>
  </si>
  <si>
    <t xml:space="preserve">-</t>
  </si>
  <si>
    <t xml:space="preserve">Seed Round</t>
  </si>
  <si>
    <t xml:space="preserve">Series A</t>
  </si>
  <si>
    <t xml:space="preserve">Series B</t>
  </si>
  <si>
    <t xml:space="preserve">Series C</t>
  </si>
  <si>
    <t xml:space="preserve">$25M</t>
  </si>
  <si>
    <t xml:space="preserve">SCENARIO COMPARISON: Final Founder %</t>
  </si>
  <si>
    <t xml:space="preserve">Scenario</t>
  </si>
  <si>
    <t xml:space="preserve">After Seed</t>
  </si>
  <si>
    <t xml:space="preserve">After Series A</t>
  </si>
  <si>
    <t xml:space="preserve">After All Rounds</t>
  </si>
  <si>
    <t xml:space="preserve">Best Case (Low Dilution)</t>
  </si>
  <si>
    <t xml:space="preserve">Moderate Case</t>
  </si>
  <si>
    <t xml:space="preserve">Typical Case</t>
  </si>
  <si>
    <t xml:space="preserve">High Dilution Case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</si>
</sst>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\$#,##0.0000;&quot;($&quot;#,##0.0000\);\-"/>
    <numFmt numFmtId="169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8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33399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1" t="s">
        <v>3</v>
      </c>
      <c r="B5" s="5" t="n">
        <v>10000000</v>
      </c>
      <c r="C5" s="6" t="s">
        <v>4</v>
      </c>
      <c r="D5" s="6"/>
      <c r="E5" s="6"/>
      <c r="F5" s="7" t="n">
        <v>5000000</v>
      </c>
    </row>
    <row r="7" customFormat="false" ht="45" hidden="false" customHeight="true" outlineLevel="0" collapsed="false">
      <c r="A7" s="8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</row>
    <row r="8" customFormat="false" ht="15" hidden="false" customHeight="true" outlineLevel="0" collapsed="false">
      <c r="A8" s="10" t="s">
        <v>14</v>
      </c>
    </row>
    <row r="9" customFormat="false" ht="15" hidden="false" customHeight="true" outlineLevel="0" collapsed="false">
      <c r="A9" s="1" t="s">
        <v>15</v>
      </c>
      <c r="B9" s="7" t="n">
        <v>500000</v>
      </c>
      <c r="C9" s="7" t="n">
        <v>1000000</v>
      </c>
      <c r="D9" s="7" t="n">
        <v>2000000</v>
      </c>
      <c r="E9" s="7" t="n">
        <v>3000000</v>
      </c>
      <c r="F9" s="7" t="n">
        <v>4000000</v>
      </c>
      <c r="G9" s="7" t="n">
        <v>2000000</v>
      </c>
      <c r="H9" s="7" t="n">
        <v>1500000</v>
      </c>
      <c r="I9" s="7" t="n">
        <v>3000000</v>
      </c>
    </row>
    <row r="10" customFormat="false" ht="15" hidden="false" customHeight="true" outlineLevel="0" collapsed="false">
      <c r="A10" s="1" t="s">
        <v>16</v>
      </c>
      <c r="B10" s="11" t="n">
        <v>0.08</v>
      </c>
      <c r="C10" s="11" t="n">
        <v>0.12</v>
      </c>
      <c r="D10" s="11" t="n">
        <v>0.2</v>
      </c>
      <c r="E10" s="11" t="n">
        <v>0.25</v>
      </c>
      <c r="F10" s="11" t="n">
        <v>0.35</v>
      </c>
      <c r="G10" s="11" t="n">
        <v>0.4</v>
      </c>
      <c r="H10" s="11" t="n">
        <v>0.5</v>
      </c>
      <c r="I10" s="11" t="n">
        <v>0.6</v>
      </c>
    </row>
    <row r="11" customFormat="false" ht="15" hidden="false" customHeight="true" outlineLevel="0" collapsed="false">
      <c r="A11" s="1" t="s">
        <v>17</v>
      </c>
      <c r="B11" s="12" t="s">
        <v>18</v>
      </c>
      <c r="C11" s="12" t="s">
        <v>18</v>
      </c>
      <c r="D11" s="12" t="s">
        <v>18</v>
      </c>
      <c r="E11" s="12" t="s">
        <v>18</v>
      </c>
      <c r="F11" s="12" t="s">
        <v>19</v>
      </c>
      <c r="G11" s="12" t="s">
        <v>20</v>
      </c>
      <c r="H11" s="12" t="s">
        <v>20</v>
      </c>
      <c r="I11" s="12" t="s">
        <v>21</v>
      </c>
    </row>
    <row r="12" customFormat="false" ht="15" hidden="false" customHeight="true" outlineLevel="0" collapsed="false">
      <c r="A12" s="1" t="s">
        <v>22</v>
      </c>
      <c r="B12" s="12" t="s">
        <v>23</v>
      </c>
      <c r="C12" s="12" t="s">
        <v>23</v>
      </c>
      <c r="D12" s="12" t="s">
        <v>23</v>
      </c>
      <c r="E12" s="12" t="s">
        <v>23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customFormat="false" ht="15" hidden="false" customHeight="true" outlineLevel="0" collapsed="false">
      <c r="A13" s="1" t="s">
        <v>25</v>
      </c>
      <c r="B13" s="12" t="s">
        <v>26</v>
      </c>
      <c r="C13" s="12" t="s">
        <v>26</v>
      </c>
      <c r="D13" s="12" t="s">
        <v>26</v>
      </c>
      <c r="E13" s="12" t="s">
        <v>26</v>
      </c>
      <c r="F13" s="12" t="s">
        <v>26</v>
      </c>
      <c r="G13" s="12" t="s">
        <v>27</v>
      </c>
      <c r="H13" s="12" t="s">
        <v>28</v>
      </c>
      <c r="I13" s="12" t="s">
        <v>29</v>
      </c>
    </row>
    <row r="15" customFormat="false" ht="15" hidden="false" customHeight="true" outlineLevel="0" collapsed="false">
      <c r="A15" s="4" t="s">
        <v>30</v>
      </c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true" outlineLevel="0" collapsed="false">
      <c r="A16" s="1" t="s">
        <v>31</v>
      </c>
      <c r="B16" s="13" t="n">
        <f aca="false">B9*(1-B10)/B10</f>
        <v>5750000</v>
      </c>
      <c r="C16" s="13" t="n">
        <f aca="false">C9*(1-C10)/C10</f>
        <v>7333333.33333333</v>
      </c>
      <c r="D16" s="13" t="n">
        <f aca="false">D9*(1-D10)/D10</f>
        <v>8000000</v>
      </c>
      <c r="E16" s="13" t="n">
        <f aca="false">E9*(1-E10)/E10</f>
        <v>9000000</v>
      </c>
      <c r="F16" s="13" t="n">
        <f aca="false">F9*(1-F10)/F10</f>
        <v>7428571.42857143</v>
      </c>
      <c r="G16" s="13" t="n">
        <f aca="false">G9*(1-G10)/G10</f>
        <v>3000000</v>
      </c>
      <c r="H16" s="13" t="n">
        <f aca="false">H9*(1-H10)/H10</f>
        <v>1500000</v>
      </c>
      <c r="I16" s="13" t="n">
        <f aca="false">I9*(1-I10)/I10</f>
        <v>2000000</v>
      </c>
    </row>
    <row r="17" customFormat="false" ht="15" hidden="false" customHeight="true" outlineLevel="0" collapsed="false">
      <c r="A17" s="1" t="s">
        <v>32</v>
      </c>
      <c r="B17" s="13" t="n">
        <f aca="false">B16+B9</f>
        <v>6250000</v>
      </c>
      <c r="C17" s="13" t="n">
        <f aca="false">C16+C9</f>
        <v>8333333.33333333</v>
      </c>
      <c r="D17" s="13" t="n">
        <f aca="false">D16+D9</f>
        <v>10000000</v>
      </c>
      <c r="E17" s="13" t="n">
        <f aca="false">E16+E9</f>
        <v>12000000</v>
      </c>
      <c r="F17" s="13" t="n">
        <f aca="false">F16+F9</f>
        <v>11428571.4285714</v>
      </c>
      <c r="G17" s="13" t="n">
        <f aca="false">G16+G9</f>
        <v>5000000</v>
      </c>
      <c r="H17" s="13" t="n">
        <f aca="false">H16+H9</f>
        <v>3000000</v>
      </c>
      <c r="I17" s="13" t="n">
        <f aca="false">I16+I9</f>
        <v>5000000</v>
      </c>
    </row>
    <row r="18" customFormat="false" ht="15" hidden="false" customHeight="true" outlineLevel="0" collapsed="false">
      <c r="A18" s="1" t="s">
        <v>33</v>
      </c>
      <c r="B18" s="14" t="n">
        <f aca="false">B16/$F$5-1</f>
        <v>0.15</v>
      </c>
      <c r="C18" s="14" t="n">
        <f aca="false">C16/$F$5-1</f>
        <v>0.466666666666667</v>
      </c>
      <c r="D18" s="14" t="n">
        <f aca="false">D16/$F$5-1</f>
        <v>0.6</v>
      </c>
      <c r="E18" s="15" t="n">
        <f aca="false">E16/$F$5-1</f>
        <v>0.8</v>
      </c>
      <c r="F18" s="15" t="n">
        <f aca="false">F16/$F$5-1</f>
        <v>0.485714285714286</v>
      </c>
      <c r="G18" s="16" t="n">
        <f aca="false">G16/$F$5-1</f>
        <v>-0.4</v>
      </c>
      <c r="H18" s="16" t="n">
        <f aca="false">H16/$F$5-1</f>
        <v>-0.7</v>
      </c>
      <c r="I18" s="16" t="n">
        <f aca="false">I16/$F$5-1</f>
        <v>-0.6</v>
      </c>
    </row>
    <row r="20" customFormat="false" ht="15" hidden="false" customHeight="true" outlineLevel="0" collapsed="false">
      <c r="A20" s="4" t="s">
        <v>34</v>
      </c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1" t="s">
        <v>35</v>
      </c>
      <c r="B21" s="17" t="n">
        <f aca="false">B16/$B$5</f>
        <v>0.575</v>
      </c>
      <c r="C21" s="17" t="n">
        <f aca="false">C16/$B$5</f>
        <v>0.733333333333333</v>
      </c>
      <c r="D21" s="17" t="n">
        <f aca="false">D16/$B$5</f>
        <v>0.8</v>
      </c>
      <c r="E21" s="17" t="n">
        <f aca="false">E16/$B$5</f>
        <v>0.9</v>
      </c>
      <c r="F21" s="17" t="n">
        <f aca="false">F16/$B$5</f>
        <v>0.742857142857143</v>
      </c>
      <c r="G21" s="17" t="n">
        <f aca="false">G16/$B$5</f>
        <v>0.3</v>
      </c>
      <c r="H21" s="17" t="n">
        <f aca="false">H16/$B$5</f>
        <v>0.15</v>
      </c>
      <c r="I21" s="17" t="n">
        <f aca="false">I16/$B$5</f>
        <v>0.2</v>
      </c>
    </row>
    <row r="22" customFormat="false" ht="15" hidden="false" customHeight="true" outlineLevel="0" collapsed="false">
      <c r="A22" s="1" t="s">
        <v>36</v>
      </c>
      <c r="B22" s="18" t="n">
        <f aca="false">IF(B21=0,0,B10/B21)</f>
        <v>0.139130434782609</v>
      </c>
      <c r="C22" s="18" t="n">
        <f aca="false">IF(C21=0,0,C10/C21)</f>
        <v>0.163636363636364</v>
      </c>
      <c r="D22" s="18" t="n">
        <f aca="false">IF(D21=0,0,D10/D21)</f>
        <v>0.25</v>
      </c>
      <c r="E22" s="18" t="n">
        <f aca="false">IF(E21=0,0,E10/E21)</f>
        <v>0.277777777777778</v>
      </c>
      <c r="F22" s="18" t="n">
        <f aca="false">IF(F21=0,0,F10/F21)</f>
        <v>0.471153846153846</v>
      </c>
      <c r="G22" s="18" t="n">
        <f aca="false">IF(G21=0,0,G10/G21)</f>
        <v>1.33333333333333</v>
      </c>
      <c r="H22" s="18" t="n">
        <f aca="false">IF(H21=0,0,H10/H21)</f>
        <v>3.33333333333333</v>
      </c>
      <c r="I22" s="18" t="n">
        <f aca="false">IF(I21=0,0,I10/I21)</f>
        <v>3</v>
      </c>
    </row>
    <row r="23" customFormat="false" ht="15" hidden="false" customHeight="true" outlineLevel="0" collapsed="false">
      <c r="A23" s="1" t="s">
        <v>37</v>
      </c>
      <c r="B23" s="19" t="n">
        <f aca="false">$B$5+B22</f>
        <v>10000000.1391304</v>
      </c>
      <c r="C23" s="19" t="n">
        <f aca="false">$B$5+C22</f>
        <v>10000000.1636364</v>
      </c>
      <c r="D23" s="19" t="n">
        <f aca="false">$B$5+D22</f>
        <v>10000000.25</v>
      </c>
      <c r="E23" s="19" t="n">
        <f aca="false">$B$5+E22</f>
        <v>10000000.2777778</v>
      </c>
      <c r="F23" s="19" t="n">
        <f aca="false">$B$5+F22</f>
        <v>10000000.4711538</v>
      </c>
      <c r="G23" s="19" t="n">
        <f aca="false">$B$5+G22</f>
        <v>10000001.3333333</v>
      </c>
      <c r="H23" s="19" t="n">
        <f aca="false">$B$5+H22</f>
        <v>10000003.3333333</v>
      </c>
      <c r="I23" s="19" t="n">
        <f aca="false">$B$5+I22</f>
        <v>10000003</v>
      </c>
    </row>
    <row r="24" customFormat="false" ht="15" hidden="false" customHeight="true" outlineLevel="0" collapsed="false">
      <c r="A24" s="1" t="s">
        <v>38</v>
      </c>
      <c r="B24" s="17" t="n">
        <f aca="false">IF(B23=0,0,B17/B23)</f>
        <v>0.624999991304348</v>
      </c>
      <c r="C24" s="17" t="n">
        <f aca="false">IF(C23=0,0,C17/C23)</f>
        <v>0.83333331969697</v>
      </c>
      <c r="D24" s="17" t="n">
        <f aca="false">IF(D23=0,0,D17/D23)</f>
        <v>0.999999975000001</v>
      </c>
      <c r="E24" s="17" t="n">
        <f aca="false">IF(E23=0,0,E17/E23)</f>
        <v>1.19999996666667</v>
      </c>
      <c r="F24" s="17" t="n">
        <f aca="false">IF(F23=0,0,F17/F23)</f>
        <v>1.14285708901099</v>
      </c>
      <c r="G24" s="17" t="n">
        <f aca="false">IF(G23=0,0,G17/G23)</f>
        <v>0.499999933333342</v>
      </c>
      <c r="H24" s="17" t="n">
        <f aca="false">IF(H23=0,0,H17/H23)</f>
        <v>0.299999900000033</v>
      </c>
      <c r="I24" s="17" t="n">
        <f aca="false">IF(I23=0,0,I17/I23)</f>
        <v>0.499999850000045</v>
      </c>
    </row>
    <row r="26" customFormat="false" ht="15" hidden="false" customHeight="true" outlineLevel="0" collapsed="false">
      <c r="A26" s="4" t="s">
        <v>39</v>
      </c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A27" s="1" t="s">
        <v>40</v>
      </c>
      <c r="B27" s="20" t="n">
        <f aca="false">IF(B23=0,0,$B$5/B23)</f>
        <v>0.999999986086957</v>
      </c>
      <c r="C27" s="20" t="n">
        <f aca="false">IF(C23=0,0,$B$5/C23)</f>
        <v>0.999999983636364</v>
      </c>
      <c r="D27" s="20" t="n">
        <f aca="false">IF(D23=0,0,$B$5/D23)</f>
        <v>0.999999975000001</v>
      </c>
      <c r="E27" s="21" t="n">
        <f aca="false">IF(E23=0,0,$B$5/E23)</f>
        <v>0.999999972222223</v>
      </c>
      <c r="F27" s="21" t="n">
        <f aca="false">IF(F23=0,0,$B$5/F23)</f>
        <v>0.999999952884618</v>
      </c>
      <c r="G27" s="22" t="n">
        <f aca="false">IF(G23=0,0,$B$5/G23)</f>
        <v>0.999999866666684</v>
      </c>
      <c r="H27" s="22" t="n">
        <f aca="false">IF(H23=0,0,$B$5/H23)</f>
        <v>0.999999666666778</v>
      </c>
      <c r="I27" s="22" t="n">
        <f aca="false">IF(I23=0,0,$B$5/I23)</f>
        <v>0.99999970000009</v>
      </c>
    </row>
    <row r="28" customFormat="false" ht="15" hidden="false" customHeight="true" outlineLevel="0" collapsed="false">
      <c r="A28" s="1" t="s">
        <v>41</v>
      </c>
      <c r="B28" s="23" t="str">
        <f aca="false">B11</f>
        <v>1x</v>
      </c>
      <c r="C28" s="23" t="str">
        <f aca="false">C11</f>
        <v>1x</v>
      </c>
      <c r="D28" s="23" t="str">
        <f aca="false">D11</f>
        <v>1x</v>
      </c>
      <c r="E28" s="23" t="str">
        <f aca="false">E11</f>
        <v>1x</v>
      </c>
      <c r="F28" s="23" t="str">
        <f aca="false">F11</f>
        <v>1.5x</v>
      </c>
      <c r="G28" s="23" t="str">
        <f aca="false">G11</f>
        <v>2x</v>
      </c>
      <c r="H28" s="23" t="str">
        <f aca="false">H11</f>
        <v>2x</v>
      </c>
      <c r="I28" s="23" t="str">
        <f aca="false">I11</f>
        <v>3x</v>
      </c>
    </row>
    <row r="29" customFormat="false" ht="15" hidden="false" customHeight="true" outlineLevel="0" collapsed="false">
      <c r="A29" s="1" t="s">
        <v>42</v>
      </c>
      <c r="B29" s="15" t="n">
        <f aca="false">1-B27</f>
        <v>1.3913043162006E-008</v>
      </c>
      <c r="C29" s="15" t="n">
        <f aca="false">1-C27</f>
        <v>1.63636361127928E-008</v>
      </c>
      <c r="D29" s="15" t="n">
        <f aca="false">1-D27</f>
        <v>2.4999999403974E-008</v>
      </c>
      <c r="E29" s="15" t="n">
        <f aca="false">1-E27</f>
        <v>2.77777770785193E-008</v>
      </c>
      <c r="F29" s="15" t="n">
        <f aca="false">1-F27</f>
        <v>4.71153823733417E-008</v>
      </c>
      <c r="G29" s="15" t="n">
        <f aca="false">1-G27</f>
        <v>1.33333315610606E-007</v>
      </c>
      <c r="H29" s="15" t="n">
        <f aca="false">1-H27</f>
        <v>3.33333222246601E-007</v>
      </c>
      <c r="I29" s="15" t="n">
        <f aca="false">1-I27</f>
        <v>2.99999910025051E-007</v>
      </c>
    </row>
    <row r="30" customFormat="false" ht="15" hidden="false" customHeight="true" outlineLevel="0" collapsed="false">
      <c r="A30" s="1" t="s">
        <v>43</v>
      </c>
      <c r="B30" s="24" t="n">
        <f aca="false">B17*B27</f>
        <v>6249999.91304348</v>
      </c>
      <c r="C30" s="24" t="n">
        <f aca="false">C17*C27</f>
        <v>8333333.1969697</v>
      </c>
      <c r="D30" s="24" t="n">
        <f aca="false">D17*D27</f>
        <v>9999999.75000001</v>
      </c>
      <c r="E30" s="24" t="n">
        <f aca="false">E17*E27</f>
        <v>11999999.6666667</v>
      </c>
      <c r="F30" s="24" t="n">
        <f aca="false">F17*F27</f>
        <v>11428570.8901099</v>
      </c>
      <c r="G30" s="24" t="n">
        <f aca="false">G17*G27</f>
        <v>4999999.33333342</v>
      </c>
      <c r="H30" s="24" t="n">
        <f aca="false">H17*H27</f>
        <v>2999999.00000033</v>
      </c>
      <c r="I30" s="24" t="n">
        <f aca="false">I17*I27</f>
        <v>4999998.50000045</v>
      </c>
    </row>
    <row r="32" customFormat="false" ht="15" hidden="false" customHeight="true" outlineLevel="0" collapsed="false">
      <c r="A32" s="4" t="s">
        <v>44</v>
      </c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A33" s="1" t="s">
        <v>45</v>
      </c>
      <c r="B33" s="24" t="n">
        <f aca="false">IF(B10=0,0,B9/B10)</f>
        <v>6250000</v>
      </c>
      <c r="C33" s="24" t="n">
        <f aca="false">IF(C10=0,0,C9/C10)</f>
        <v>8333333.33333333</v>
      </c>
      <c r="D33" s="24" t="n">
        <f aca="false">IF(D10=0,0,D9/D10)</f>
        <v>10000000</v>
      </c>
      <c r="E33" s="24" t="n">
        <f aca="false">IF(E10=0,0,E9/E10)</f>
        <v>12000000</v>
      </c>
      <c r="F33" s="24" t="n">
        <f aca="false">IF(F10=0,0,F9/F10)</f>
        <v>11428571.4285714</v>
      </c>
      <c r="G33" s="24" t="n">
        <f aca="false">IF(G10=0,0,G9/G10)</f>
        <v>5000000</v>
      </c>
      <c r="H33" s="24" t="n">
        <f aca="false">IF(H10=0,0,H9/H10)</f>
        <v>3000000</v>
      </c>
      <c r="I33" s="24" t="n">
        <f aca="false">IF(I10=0,0,I9/I10)</f>
        <v>5000000</v>
      </c>
    </row>
    <row r="34" customFormat="false" ht="15" hidden="false" customHeight="true" outlineLevel="0" collapsed="false">
      <c r="A34" s="1" t="s">
        <v>46</v>
      </c>
      <c r="B34" s="25" t="n">
        <f aca="false">B17/$F$5</f>
        <v>1.25</v>
      </c>
      <c r="C34" s="25" t="n">
        <f aca="false">C17/$F$5</f>
        <v>1.66666666666667</v>
      </c>
      <c r="D34" s="25" t="n">
        <f aca="false">D17/$F$5</f>
        <v>2</v>
      </c>
      <c r="E34" s="25" t="n">
        <f aca="false">E17/$F$5</f>
        <v>2.4</v>
      </c>
      <c r="F34" s="25" t="n">
        <f aca="false">F17/$F$5</f>
        <v>2.28571428571429</v>
      </c>
      <c r="G34" s="25" t="n">
        <f aca="false">G17/$F$5</f>
        <v>1</v>
      </c>
      <c r="H34" s="25" t="n">
        <f aca="false">H17/$F$5</f>
        <v>0.6</v>
      </c>
      <c r="I34" s="25" t="n">
        <f aca="false">I17/$F$5</f>
        <v>1</v>
      </c>
    </row>
    <row r="35" customFormat="false" ht="15" hidden="false" customHeight="true" outlineLevel="0" collapsed="false">
      <c r="A35" s="1" t="s">
        <v>47</v>
      </c>
      <c r="B35" s="26" t="s">
        <v>48</v>
      </c>
      <c r="C35" s="26" t="s">
        <v>49</v>
      </c>
      <c r="D35" s="26" t="s">
        <v>50</v>
      </c>
      <c r="E35" s="27" t="s">
        <v>51</v>
      </c>
      <c r="F35" s="27" t="s">
        <v>52</v>
      </c>
      <c r="G35" s="28" t="s">
        <v>53</v>
      </c>
      <c r="H35" s="28" t="s">
        <v>54</v>
      </c>
      <c r="I35" s="28" t="s">
        <v>55</v>
      </c>
    </row>
  </sheetData>
  <mergeCells count="8">
    <mergeCell ref="A1:I1"/>
    <mergeCell ref="A2:I2"/>
    <mergeCell ref="A4:I4"/>
    <mergeCell ref="C5:E5"/>
    <mergeCell ref="A15:I15"/>
    <mergeCell ref="A20:I20"/>
    <mergeCell ref="A26:I26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</row>
    <row r="3" customFormat="false" ht="34.5" hidden="false" customHeight="true" outlineLevel="0" collapsed="false">
      <c r="A3" s="8" t="s">
        <v>57</v>
      </c>
      <c r="B3" s="29" t="s">
        <v>58</v>
      </c>
      <c r="C3" s="29" t="s">
        <v>59</v>
      </c>
      <c r="D3" s="29" t="s">
        <v>60</v>
      </c>
      <c r="E3" s="29" t="s">
        <v>61</v>
      </c>
      <c r="F3" s="29" t="s">
        <v>62</v>
      </c>
      <c r="G3" s="29" t="s">
        <v>63</v>
      </c>
      <c r="H3" s="29" t="s">
        <v>64</v>
      </c>
      <c r="I3" s="29" t="s">
        <v>65</v>
      </c>
    </row>
    <row r="4" customFormat="false" ht="15" hidden="false" customHeight="true" outlineLevel="0" collapsed="false">
      <c r="A4" s="4" t="s">
        <v>66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1" t="s">
        <v>67</v>
      </c>
      <c r="B5" s="30" t="s">
        <v>68</v>
      </c>
      <c r="C5" s="30" t="s">
        <v>69</v>
      </c>
      <c r="D5" s="30" t="s">
        <v>28</v>
      </c>
      <c r="E5" s="30" t="s">
        <v>27</v>
      </c>
      <c r="F5" s="30" t="s">
        <v>70</v>
      </c>
      <c r="G5" s="30" t="s">
        <v>28</v>
      </c>
      <c r="H5" s="30" t="s">
        <v>29</v>
      </c>
      <c r="I5" s="30" t="s">
        <v>27</v>
      </c>
    </row>
    <row r="6" customFormat="false" ht="15" hidden="false" customHeight="true" outlineLevel="0" collapsed="false">
      <c r="A6" s="1" t="s">
        <v>71</v>
      </c>
      <c r="B6" s="30" t="s">
        <v>72</v>
      </c>
      <c r="C6" s="30" t="s">
        <v>73</v>
      </c>
      <c r="D6" s="30" t="s">
        <v>74</v>
      </c>
      <c r="E6" s="30" t="s">
        <v>75</v>
      </c>
      <c r="F6" s="30" t="s">
        <v>76</v>
      </c>
      <c r="G6" s="30" t="s">
        <v>77</v>
      </c>
      <c r="H6" s="30" t="s">
        <v>78</v>
      </c>
      <c r="I6" s="30" t="s">
        <v>79</v>
      </c>
    </row>
    <row r="7" customFormat="false" ht="15" hidden="false" customHeight="true" outlineLevel="0" collapsed="false">
      <c r="A7" s="1" t="s">
        <v>80</v>
      </c>
      <c r="B7" s="30" t="s">
        <v>81</v>
      </c>
      <c r="C7" s="30" t="s">
        <v>82</v>
      </c>
      <c r="D7" s="30" t="s">
        <v>83</v>
      </c>
      <c r="E7" s="30" t="s">
        <v>84</v>
      </c>
      <c r="F7" s="30" t="s">
        <v>85</v>
      </c>
      <c r="G7" s="30" t="s">
        <v>27</v>
      </c>
      <c r="H7" s="30" t="s">
        <v>29</v>
      </c>
      <c r="I7" s="30" t="s">
        <v>28</v>
      </c>
    </row>
    <row r="8" customFormat="false" ht="15" hidden="false" customHeight="true" outlineLevel="0" collapsed="false">
      <c r="A8" s="1" t="s">
        <v>86</v>
      </c>
      <c r="B8" s="30" t="s">
        <v>87</v>
      </c>
      <c r="C8" s="30" t="s">
        <v>88</v>
      </c>
      <c r="D8" s="30" t="s">
        <v>89</v>
      </c>
      <c r="E8" s="30" t="s">
        <v>90</v>
      </c>
      <c r="F8" s="30" t="s">
        <v>91</v>
      </c>
      <c r="G8" s="30" t="s">
        <v>92</v>
      </c>
      <c r="H8" s="30" t="s">
        <v>27</v>
      </c>
      <c r="I8" s="30" t="s">
        <v>92</v>
      </c>
    </row>
    <row r="9" customFormat="false" ht="15" hidden="false" customHeight="true" outlineLevel="0" collapsed="false">
      <c r="A9" s="1" t="s">
        <v>17</v>
      </c>
      <c r="B9" s="30" t="s">
        <v>18</v>
      </c>
      <c r="C9" s="30" t="s">
        <v>18</v>
      </c>
      <c r="D9" s="30" t="s">
        <v>18</v>
      </c>
      <c r="E9" s="30" t="s">
        <v>18</v>
      </c>
      <c r="F9" s="30" t="s">
        <v>19</v>
      </c>
      <c r="G9" s="30" t="s">
        <v>20</v>
      </c>
      <c r="H9" s="30" t="s">
        <v>20</v>
      </c>
      <c r="I9" s="30" t="s">
        <v>21</v>
      </c>
    </row>
    <row r="10" customFormat="false" ht="15" hidden="false" customHeight="true" outlineLevel="0" collapsed="false">
      <c r="A10" s="1" t="s">
        <v>93</v>
      </c>
      <c r="B10" s="30" t="s">
        <v>23</v>
      </c>
      <c r="C10" s="30" t="s">
        <v>23</v>
      </c>
      <c r="D10" s="30" t="s">
        <v>23</v>
      </c>
      <c r="E10" s="30" t="s">
        <v>23</v>
      </c>
      <c r="F10" s="30" t="s">
        <v>24</v>
      </c>
      <c r="G10" s="30" t="s">
        <v>24</v>
      </c>
      <c r="H10" s="30" t="s">
        <v>24</v>
      </c>
      <c r="I10" s="30" t="s">
        <v>24</v>
      </c>
    </row>
    <row r="11" customFormat="false" ht="15" hidden="false" customHeight="true" outlineLevel="0" collapsed="false">
      <c r="A11" s="1" t="s">
        <v>94</v>
      </c>
      <c r="B11" s="30" t="s">
        <v>95</v>
      </c>
      <c r="C11" s="30" t="s">
        <v>95</v>
      </c>
      <c r="D11" s="30" t="s">
        <v>95</v>
      </c>
      <c r="E11" s="30" t="s">
        <v>95</v>
      </c>
      <c r="F11" s="30" t="s">
        <v>21</v>
      </c>
      <c r="G11" s="30" t="s">
        <v>21</v>
      </c>
      <c r="H11" s="30" t="s">
        <v>20</v>
      </c>
      <c r="I11" s="30" t="s">
        <v>26</v>
      </c>
    </row>
    <row r="13" customFormat="false" ht="15" hidden="false" customHeight="true" outlineLevel="0" collapsed="false">
      <c r="A13" s="4" t="s">
        <v>96</v>
      </c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true" outlineLevel="0" collapsed="false">
      <c r="A14" s="1" t="s">
        <v>97</v>
      </c>
      <c r="B14" s="31" t="s">
        <v>98</v>
      </c>
      <c r="C14" s="31" t="s">
        <v>99</v>
      </c>
      <c r="D14" s="31" t="s">
        <v>99</v>
      </c>
      <c r="E14" s="31" t="s">
        <v>99</v>
      </c>
      <c r="F14" s="31" t="s">
        <v>100</v>
      </c>
      <c r="G14" s="31" t="s">
        <v>100</v>
      </c>
      <c r="H14" s="31" t="s">
        <v>100</v>
      </c>
      <c r="I14" s="31" t="s">
        <v>101</v>
      </c>
    </row>
    <row r="15" customFormat="false" ht="15" hidden="false" customHeight="true" outlineLevel="0" collapsed="false">
      <c r="A15" s="1" t="s">
        <v>102</v>
      </c>
      <c r="B15" s="31" t="s">
        <v>103</v>
      </c>
      <c r="C15" s="31" t="s">
        <v>103</v>
      </c>
      <c r="D15" s="31" t="s">
        <v>103</v>
      </c>
      <c r="E15" s="31" t="s">
        <v>104</v>
      </c>
      <c r="F15" s="31" t="s">
        <v>105</v>
      </c>
      <c r="G15" s="31" t="s">
        <v>105</v>
      </c>
      <c r="H15" s="31" t="s">
        <v>105</v>
      </c>
      <c r="I15" s="31" t="s">
        <v>105</v>
      </c>
    </row>
    <row r="16" customFormat="false" ht="15" hidden="false" customHeight="true" outlineLevel="0" collapsed="false">
      <c r="A16" s="1" t="s">
        <v>106</v>
      </c>
      <c r="B16" s="31" t="s">
        <v>107</v>
      </c>
      <c r="C16" s="31" t="s">
        <v>107</v>
      </c>
      <c r="D16" s="31" t="s">
        <v>107</v>
      </c>
      <c r="E16" s="31" t="s">
        <v>108</v>
      </c>
      <c r="F16" s="31" t="s">
        <v>109</v>
      </c>
      <c r="G16" s="31" t="s">
        <v>109</v>
      </c>
      <c r="H16" s="31" t="s">
        <v>110</v>
      </c>
      <c r="I16" s="31" t="s">
        <v>111</v>
      </c>
    </row>
    <row r="17" customFormat="false" ht="15" hidden="false" customHeight="true" outlineLevel="0" collapsed="false">
      <c r="A17" s="1" t="s">
        <v>112</v>
      </c>
      <c r="B17" s="31" t="s">
        <v>26</v>
      </c>
      <c r="C17" s="31" t="s">
        <v>26</v>
      </c>
      <c r="D17" s="31" t="s">
        <v>107</v>
      </c>
      <c r="E17" s="31" t="s">
        <v>107</v>
      </c>
      <c r="F17" s="31" t="s">
        <v>113</v>
      </c>
      <c r="G17" s="31" t="s">
        <v>114</v>
      </c>
      <c r="H17" s="31" t="s">
        <v>114</v>
      </c>
      <c r="I17" s="31" t="s">
        <v>114</v>
      </c>
    </row>
    <row r="18" customFormat="false" ht="15" hidden="false" customHeight="true" outlineLevel="0" collapsed="false">
      <c r="A18" s="1" t="s">
        <v>115</v>
      </c>
      <c r="B18" s="31" t="s">
        <v>26</v>
      </c>
      <c r="C18" s="31" t="s">
        <v>116</v>
      </c>
      <c r="D18" s="31" t="s">
        <v>116</v>
      </c>
      <c r="E18" s="31" t="s">
        <v>116</v>
      </c>
      <c r="F18" s="31" t="s">
        <v>117</v>
      </c>
      <c r="G18" s="31" t="s">
        <v>117</v>
      </c>
      <c r="H18" s="31" t="s">
        <v>117</v>
      </c>
      <c r="I18" s="31" t="s">
        <v>117</v>
      </c>
    </row>
    <row r="20" customFormat="false" ht="15" hidden="false" customHeight="true" outlineLevel="0" collapsed="false">
      <c r="A20" s="4" t="s">
        <v>118</v>
      </c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1" t="s">
        <v>119</v>
      </c>
      <c r="B21" s="31" t="s">
        <v>23</v>
      </c>
      <c r="C21" s="31" t="s">
        <v>24</v>
      </c>
      <c r="D21" s="31" t="s">
        <v>24</v>
      </c>
      <c r="E21" s="31" t="s">
        <v>24</v>
      </c>
      <c r="F21" s="31" t="s">
        <v>24</v>
      </c>
      <c r="G21" s="31" t="s">
        <v>24</v>
      </c>
      <c r="H21" s="31" t="s">
        <v>24</v>
      </c>
      <c r="I21" s="31" t="s">
        <v>24</v>
      </c>
    </row>
    <row r="22" customFormat="false" ht="15" hidden="false" customHeight="true" outlineLevel="0" collapsed="false">
      <c r="A22" s="1" t="s">
        <v>120</v>
      </c>
      <c r="B22" s="31" t="s">
        <v>24</v>
      </c>
      <c r="C22" s="31" t="s">
        <v>24</v>
      </c>
      <c r="D22" s="31" t="s">
        <v>24</v>
      </c>
      <c r="E22" s="31" t="s">
        <v>24</v>
      </c>
      <c r="F22" s="31" t="s">
        <v>24</v>
      </c>
      <c r="G22" s="31" t="s">
        <v>121</v>
      </c>
      <c r="H22" s="31" t="s">
        <v>121</v>
      </c>
      <c r="I22" s="31" t="s">
        <v>23</v>
      </c>
    </row>
    <row r="23" customFormat="false" ht="15" hidden="false" customHeight="true" outlineLevel="0" collapsed="false">
      <c r="A23" s="1" t="s">
        <v>122</v>
      </c>
      <c r="B23" s="31" t="s">
        <v>23</v>
      </c>
      <c r="C23" s="31" t="s">
        <v>23</v>
      </c>
      <c r="D23" s="31" t="s">
        <v>23</v>
      </c>
      <c r="E23" s="31" t="s">
        <v>123</v>
      </c>
      <c r="F23" s="31" t="s">
        <v>123</v>
      </c>
      <c r="G23" s="31" t="s">
        <v>124</v>
      </c>
      <c r="H23" s="31" t="s">
        <v>125</v>
      </c>
      <c r="I23" s="31" t="s">
        <v>126</v>
      </c>
    </row>
    <row r="24" customFormat="false" ht="15" hidden="false" customHeight="true" outlineLevel="0" collapsed="false">
      <c r="A24" s="1" t="s">
        <v>127</v>
      </c>
      <c r="B24" s="31" t="s">
        <v>23</v>
      </c>
      <c r="C24" s="31" t="s">
        <v>23</v>
      </c>
      <c r="D24" s="31" t="s">
        <v>128</v>
      </c>
      <c r="E24" s="31" t="s">
        <v>24</v>
      </c>
      <c r="F24" s="31" t="s">
        <v>24</v>
      </c>
      <c r="G24" s="31" t="s">
        <v>129</v>
      </c>
      <c r="H24" s="31" t="s">
        <v>129</v>
      </c>
      <c r="I24" s="31" t="s">
        <v>129</v>
      </c>
    </row>
    <row r="26" customFormat="false" ht="15" hidden="false" customHeight="true" outlineLevel="0" collapsed="false">
      <c r="A26" s="4" t="s">
        <v>130</v>
      </c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A27" s="1" t="s">
        <v>131</v>
      </c>
      <c r="B27" s="32" t="s">
        <v>132</v>
      </c>
      <c r="C27" s="32" t="s">
        <v>133</v>
      </c>
      <c r="D27" s="32" t="s">
        <v>134</v>
      </c>
      <c r="E27" s="33" t="s">
        <v>134</v>
      </c>
      <c r="F27" s="33" t="s">
        <v>135</v>
      </c>
      <c r="G27" s="34" t="s">
        <v>136</v>
      </c>
      <c r="H27" s="34" t="s">
        <v>136</v>
      </c>
      <c r="I27" s="34" t="s">
        <v>137</v>
      </c>
    </row>
    <row r="28" customFormat="false" ht="15" hidden="false" customHeight="true" outlineLevel="0" collapsed="false">
      <c r="A28" s="1" t="s">
        <v>138</v>
      </c>
      <c r="B28" s="26" t="s">
        <v>139</v>
      </c>
      <c r="C28" s="26" t="s">
        <v>140</v>
      </c>
      <c r="D28" s="26" t="s">
        <v>141</v>
      </c>
      <c r="E28" s="27" t="s">
        <v>142</v>
      </c>
      <c r="F28" s="27" t="s">
        <v>143</v>
      </c>
      <c r="G28" s="28" t="s">
        <v>144</v>
      </c>
      <c r="H28" s="28" t="s">
        <v>145</v>
      </c>
      <c r="I28" s="28" t="s">
        <v>146</v>
      </c>
    </row>
  </sheetData>
  <mergeCells count="5">
    <mergeCell ref="A1:I1"/>
    <mergeCell ref="A4:I4"/>
    <mergeCell ref="A13:I13"/>
    <mergeCell ref="A20:I20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35" t="s">
        <v>147</v>
      </c>
    </row>
    <row r="2" customFormat="false" ht="15" hidden="false" customHeight="true" outlineLevel="0" collapsed="false">
      <c r="A2" s="36" t="s">
        <v>148</v>
      </c>
    </row>
    <row r="4" customFormat="false" ht="15" hidden="false" customHeight="true" outlineLevel="0" collapsed="false">
      <c r="A4" s="4" t="s">
        <v>149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37" t="s">
        <v>150</v>
      </c>
      <c r="B5" s="38" t="s">
        <v>68</v>
      </c>
      <c r="C5" s="38" t="s">
        <v>69</v>
      </c>
      <c r="D5" s="38" t="s">
        <v>28</v>
      </c>
      <c r="E5" s="38" t="s">
        <v>27</v>
      </c>
      <c r="F5" s="38" t="s">
        <v>70</v>
      </c>
      <c r="G5" s="38" t="s">
        <v>92</v>
      </c>
      <c r="H5" s="38" t="s">
        <v>89</v>
      </c>
    </row>
    <row r="6" customFormat="false" ht="15" hidden="false" customHeight="true" outlineLevel="0" collapsed="false">
      <c r="A6" s="37" t="s">
        <v>151</v>
      </c>
    </row>
    <row r="7" customFormat="false" ht="15" hidden="false" customHeight="true" outlineLevel="0" collapsed="false">
      <c r="A7" s="27" t="s">
        <v>152</v>
      </c>
      <c r="B7" s="39" t="n">
        <v>9500000</v>
      </c>
      <c r="C7" s="39" t="n">
        <v>19000000</v>
      </c>
      <c r="D7" s="39" t="n">
        <v>38000000</v>
      </c>
      <c r="E7" s="39" t="n">
        <v>57000000</v>
      </c>
      <c r="F7" s="39" t="n">
        <v>76000000</v>
      </c>
      <c r="G7" s="39" t="n">
        <v>95000000</v>
      </c>
      <c r="H7" s="39" t="n">
        <v>190000000</v>
      </c>
    </row>
    <row r="8" customFormat="false" ht="15" hidden="false" customHeight="true" outlineLevel="0" collapsed="false">
      <c r="A8" s="27" t="s">
        <v>153</v>
      </c>
      <c r="B8" s="39" t="n">
        <v>4500000</v>
      </c>
      <c r="C8" s="39" t="n">
        <v>9000000</v>
      </c>
      <c r="D8" s="39" t="n">
        <v>18000000</v>
      </c>
      <c r="E8" s="39" t="n">
        <v>27000000</v>
      </c>
      <c r="F8" s="39" t="n">
        <v>36000000</v>
      </c>
      <c r="G8" s="39" t="n">
        <v>45000000</v>
      </c>
      <c r="H8" s="39" t="n">
        <v>90000000</v>
      </c>
    </row>
    <row r="9" customFormat="false" ht="15" hidden="false" customHeight="true" outlineLevel="0" collapsed="false">
      <c r="A9" s="27" t="s">
        <v>154</v>
      </c>
      <c r="B9" s="39" t="n">
        <v>2833333.33333333</v>
      </c>
      <c r="C9" s="39" t="n">
        <v>5666666.66666667</v>
      </c>
      <c r="D9" s="39" t="n">
        <v>11333333.3333333</v>
      </c>
      <c r="E9" s="39" t="n">
        <v>17000000</v>
      </c>
      <c r="F9" s="39" t="n">
        <v>22666666.6666667</v>
      </c>
      <c r="G9" s="39" t="n">
        <v>28333333.3333333</v>
      </c>
      <c r="H9" s="39" t="n">
        <v>56666666.6666667</v>
      </c>
    </row>
    <row r="10" customFormat="false" ht="15" hidden="false" customHeight="true" outlineLevel="0" collapsed="false">
      <c r="A10" s="27" t="s">
        <v>74</v>
      </c>
      <c r="B10" s="39" t="n">
        <v>2000000</v>
      </c>
      <c r="C10" s="39" t="n">
        <v>4000000</v>
      </c>
      <c r="D10" s="39" t="n">
        <v>8000000</v>
      </c>
      <c r="E10" s="39" t="n">
        <v>12000000</v>
      </c>
      <c r="F10" s="39" t="n">
        <v>16000000</v>
      </c>
      <c r="G10" s="39" t="n">
        <v>20000000</v>
      </c>
      <c r="H10" s="39" t="n">
        <v>40000000</v>
      </c>
    </row>
    <row r="11" customFormat="false" ht="15" hidden="false" customHeight="true" outlineLevel="0" collapsed="false">
      <c r="A11" s="27" t="s">
        <v>75</v>
      </c>
      <c r="B11" s="39" t="n">
        <v>1500000</v>
      </c>
      <c r="C11" s="39" t="n">
        <v>3000000</v>
      </c>
      <c r="D11" s="39" t="n">
        <v>6000000</v>
      </c>
      <c r="E11" s="39" t="n">
        <v>9000000</v>
      </c>
      <c r="F11" s="39" t="n">
        <v>12000000</v>
      </c>
      <c r="G11" s="39" t="n">
        <v>15000000</v>
      </c>
      <c r="H11" s="39" t="n">
        <v>30000000</v>
      </c>
    </row>
    <row r="12" customFormat="false" ht="15" hidden="false" customHeight="true" outlineLevel="0" collapsed="false">
      <c r="A12" s="27" t="s">
        <v>155</v>
      </c>
      <c r="B12" s="39" t="n">
        <v>1166666.66666667</v>
      </c>
      <c r="C12" s="39" t="n">
        <v>2333333.33333333</v>
      </c>
      <c r="D12" s="39" t="n">
        <v>4666666.66666667</v>
      </c>
      <c r="E12" s="39" t="n">
        <v>7000000</v>
      </c>
      <c r="F12" s="39" t="n">
        <v>9333333.33333333</v>
      </c>
      <c r="G12" s="39" t="n">
        <v>11666666.6666667</v>
      </c>
      <c r="H12" s="39" t="n">
        <v>23333333.3333333</v>
      </c>
    </row>
    <row r="13" customFormat="false" ht="15" hidden="false" customHeight="true" outlineLevel="0" collapsed="false">
      <c r="A13" s="27" t="s">
        <v>77</v>
      </c>
      <c r="B13" s="39" t="n">
        <v>750000</v>
      </c>
      <c r="C13" s="39" t="n">
        <v>1500000</v>
      </c>
      <c r="D13" s="39" t="n">
        <v>3000000</v>
      </c>
      <c r="E13" s="39" t="n">
        <v>4500000</v>
      </c>
      <c r="F13" s="39" t="n">
        <v>6000000</v>
      </c>
      <c r="G13" s="39" t="n">
        <v>7500000</v>
      </c>
      <c r="H13" s="39" t="n">
        <v>15000000</v>
      </c>
    </row>
    <row r="14" customFormat="false" ht="15" hidden="false" customHeight="true" outlineLevel="0" collapsed="false">
      <c r="A14" s="27" t="s">
        <v>78</v>
      </c>
      <c r="B14" s="39" t="n">
        <v>500000</v>
      </c>
      <c r="C14" s="39" t="n">
        <v>1000000</v>
      </c>
      <c r="D14" s="39" t="n">
        <v>2000000</v>
      </c>
      <c r="E14" s="39" t="n">
        <v>3000000</v>
      </c>
      <c r="F14" s="39" t="n">
        <v>4000000</v>
      </c>
      <c r="G14" s="39" t="n">
        <v>5000000</v>
      </c>
      <c r="H14" s="39" t="n">
        <v>10000000</v>
      </c>
    </row>
    <row r="15" customFormat="false" ht="15" hidden="false" customHeight="true" outlineLevel="0" collapsed="false">
      <c r="A15" s="27" t="s">
        <v>79</v>
      </c>
      <c r="B15" s="39" t="n">
        <v>333333.333333333</v>
      </c>
      <c r="C15" s="39" t="n">
        <v>666666.666666667</v>
      </c>
      <c r="D15" s="39" t="n">
        <v>1333333.33333333</v>
      </c>
      <c r="E15" s="39" t="n">
        <v>2000000</v>
      </c>
      <c r="F15" s="39" t="n">
        <v>2666666.66666667</v>
      </c>
      <c r="G15" s="39" t="n">
        <v>3333333.33333333</v>
      </c>
      <c r="H15" s="39" t="n">
        <v>6666666.66666667</v>
      </c>
    </row>
    <row r="18" customFormat="false" ht="15" hidden="false" customHeight="true" outlineLevel="0" collapsed="false">
      <c r="A18" s="4" t="s">
        <v>156</v>
      </c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37" t="s">
        <v>150</v>
      </c>
      <c r="B19" s="38" t="s">
        <v>68</v>
      </c>
      <c r="C19" s="38" t="s">
        <v>69</v>
      </c>
      <c r="D19" s="38" t="s">
        <v>28</v>
      </c>
      <c r="E19" s="38" t="s">
        <v>27</v>
      </c>
      <c r="F19" s="38" t="s">
        <v>70</v>
      </c>
      <c r="G19" s="38" t="s">
        <v>92</v>
      </c>
      <c r="H19" s="38" t="s">
        <v>89</v>
      </c>
    </row>
    <row r="20" customFormat="false" ht="15" hidden="false" customHeight="true" outlineLevel="0" collapsed="false">
      <c r="A20" s="37" t="s">
        <v>151</v>
      </c>
    </row>
    <row r="21" customFormat="false" ht="15" hidden="false" customHeight="true" outlineLevel="0" collapsed="false">
      <c r="A21" s="27" t="s">
        <v>152</v>
      </c>
      <c r="B21" s="40" t="n">
        <v>0.95</v>
      </c>
      <c r="C21" s="40" t="n">
        <v>0.95</v>
      </c>
      <c r="D21" s="40" t="n">
        <v>0.95</v>
      </c>
      <c r="E21" s="40" t="n">
        <v>0.95</v>
      </c>
      <c r="F21" s="40" t="n">
        <v>0.95</v>
      </c>
      <c r="G21" s="40" t="n">
        <v>0.95</v>
      </c>
      <c r="H21" s="40" t="n">
        <v>0.95</v>
      </c>
    </row>
    <row r="22" customFormat="false" ht="15" hidden="false" customHeight="true" outlineLevel="0" collapsed="false">
      <c r="A22" s="27" t="s">
        <v>153</v>
      </c>
      <c r="B22" s="40" t="n">
        <v>0.9</v>
      </c>
      <c r="C22" s="40" t="n">
        <v>0.9</v>
      </c>
      <c r="D22" s="40" t="n">
        <v>0.9</v>
      </c>
      <c r="E22" s="40" t="n">
        <v>0.9</v>
      </c>
      <c r="F22" s="40" t="n">
        <v>0.9</v>
      </c>
      <c r="G22" s="40" t="n">
        <v>0.9</v>
      </c>
      <c r="H22" s="40" t="n">
        <v>0.9</v>
      </c>
    </row>
    <row r="23" customFormat="false" ht="15" hidden="false" customHeight="true" outlineLevel="0" collapsed="false">
      <c r="A23" s="27" t="s">
        <v>154</v>
      </c>
      <c r="B23" s="40" t="n">
        <v>0.85</v>
      </c>
      <c r="C23" s="40" t="n">
        <v>0.85</v>
      </c>
      <c r="D23" s="40" t="n">
        <v>0.85</v>
      </c>
      <c r="E23" s="40" t="n">
        <v>0.85</v>
      </c>
      <c r="F23" s="40" t="n">
        <v>0.85</v>
      </c>
      <c r="G23" s="40" t="n">
        <v>0.85</v>
      </c>
      <c r="H23" s="40" t="n">
        <v>0.85</v>
      </c>
    </row>
    <row r="24" customFormat="false" ht="15" hidden="false" customHeight="true" outlineLevel="0" collapsed="false">
      <c r="A24" s="27" t="s">
        <v>74</v>
      </c>
      <c r="B24" s="40" t="n">
        <v>0.8</v>
      </c>
      <c r="C24" s="40" t="n">
        <v>0.8</v>
      </c>
      <c r="D24" s="40" t="n">
        <v>0.8</v>
      </c>
      <c r="E24" s="40" t="n">
        <v>0.8</v>
      </c>
      <c r="F24" s="40" t="n">
        <v>0.8</v>
      </c>
      <c r="G24" s="40" t="n">
        <v>0.8</v>
      </c>
      <c r="H24" s="40" t="n">
        <v>0.8</v>
      </c>
    </row>
    <row r="25" customFormat="false" ht="15" hidden="false" customHeight="true" outlineLevel="0" collapsed="false">
      <c r="A25" s="27" t="s">
        <v>75</v>
      </c>
      <c r="B25" s="41" t="n">
        <v>0.75</v>
      </c>
      <c r="C25" s="41" t="n">
        <v>0.75</v>
      </c>
      <c r="D25" s="41" t="n">
        <v>0.75</v>
      </c>
      <c r="E25" s="41" t="n">
        <v>0.75</v>
      </c>
      <c r="F25" s="41" t="n">
        <v>0.75</v>
      </c>
      <c r="G25" s="41" t="n">
        <v>0.75</v>
      </c>
      <c r="H25" s="41" t="n">
        <v>0.75</v>
      </c>
    </row>
    <row r="26" customFormat="false" ht="15" hidden="false" customHeight="true" outlineLevel="0" collapsed="false">
      <c r="A26" s="27" t="s">
        <v>155</v>
      </c>
      <c r="B26" s="41" t="n">
        <v>0.7</v>
      </c>
      <c r="C26" s="41" t="n">
        <v>0.7</v>
      </c>
      <c r="D26" s="41" t="n">
        <v>0.7</v>
      </c>
      <c r="E26" s="41" t="n">
        <v>0.7</v>
      </c>
      <c r="F26" s="41" t="n">
        <v>0.7</v>
      </c>
      <c r="G26" s="41" t="n">
        <v>0.7</v>
      </c>
      <c r="H26" s="41" t="n">
        <v>0.7</v>
      </c>
    </row>
    <row r="27" customFormat="false" ht="15" hidden="false" customHeight="true" outlineLevel="0" collapsed="false">
      <c r="A27" s="27" t="s">
        <v>77</v>
      </c>
      <c r="B27" s="41" t="n">
        <v>0.6</v>
      </c>
      <c r="C27" s="41" t="n">
        <v>0.6</v>
      </c>
      <c r="D27" s="41" t="n">
        <v>0.6</v>
      </c>
      <c r="E27" s="41" t="n">
        <v>0.6</v>
      </c>
      <c r="F27" s="41" t="n">
        <v>0.6</v>
      </c>
      <c r="G27" s="41" t="n">
        <v>0.6</v>
      </c>
      <c r="H27" s="41" t="n">
        <v>0.6</v>
      </c>
    </row>
    <row r="28" customFormat="false" ht="15" hidden="false" customHeight="true" outlineLevel="0" collapsed="false">
      <c r="A28" s="27" t="s">
        <v>78</v>
      </c>
      <c r="B28" s="42" t="n">
        <v>0.5</v>
      </c>
      <c r="C28" s="42" t="n">
        <v>0.5</v>
      </c>
      <c r="D28" s="42" t="n">
        <v>0.5</v>
      </c>
      <c r="E28" s="42" t="n">
        <v>0.5</v>
      </c>
      <c r="F28" s="42" t="n">
        <v>0.5</v>
      </c>
      <c r="G28" s="42" t="n">
        <v>0.5</v>
      </c>
      <c r="H28" s="42" t="n">
        <v>0.5</v>
      </c>
    </row>
    <row r="29" customFormat="false" ht="15" hidden="false" customHeight="true" outlineLevel="0" collapsed="false">
      <c r="A29" s="27" t="s">
        <v>79</v>
      </c>
      <c r="B29" s="42" t="n">
        <v>0.4</v>
      </c>
      <c r="C29" s="42" t="n">
        <v>0.4</v>
      </c>
      <c r="D29" s="42" t="n">
        <v>0.4</v>
      </c>
      <c r="E29" s="42" t="n">
        <v>0.4</v>
      </c>
      <c r="F29" s="42" t="n">
        <v>0.4</v>
      </c>
      <c r="G29" s="42" t="n">
        <v>0.4</v>
      </c>
      <c r="H29" s="42" t="n">
        <v>0.4</v>
      </c>
    </row>
  </sheetData>
  <mergeCells count="2">
    <mergeCell ref="A4:H4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</cols>
  <sheetData>
    <row r="1" customFormat="false" ht="15.75" hidden="false" customHeight="true" outlineLevel="0" collapsed="false">
      <c r="A1" s="35" t="s">
        <v>157</v>
      </c>
    </row>
    <row r="2" customFormat="false" ht="15" hidden="false" customHeight="true" outlineLevel="0" collapsed="false">
      <c r="A2" s="36" t="s">
        <v>158</v>
      </c>
    </row>
    <row r="4" customFormat="false" ht="15" hidden="false" customHeight="true" outlineLevel="0" collapsed="false">
      <c r="A4" s="8" t="s">
        <v>159</v>
      </c>
    </row>
    <row r="5" customFormat="false" ht="15" hidden="false" customHeight="true" outlineLevel="0" collapsed="false">
      <c r="A5" s="1" t="s">
        <v>160</v>
      </c>
      <c r="B5" s="11" t="n">
        <v>1</v>
      </c>
    </row>
    <row r="7" customFormat="false" ht="15" hidden="false" customHeight="true" outlineLevel="0" collapsed="false">
      <c r="A7" s="4" t="s">
        <v>161</v>
      </c>
      <c r="B7" s="4"/>
      <c r="C7" s="4"/>
      <c r="D7" s="4"/>
    </row>
    <row r="8" customFormat="false" ht="15" hidden="false" customHeight="true" outlineLevel="0" collapsed="false">
      <c r="A8" s="43" t="s">
        <v>162</v>
      </c>
      <c r="B8" s="43" t="s">
        <v>163</v>
      </c>
      <c r="C8" s="43" t="s">
        <v>164</v>
      </c>
      <c r="D8" s="43" t="s">
        <v>165</v>
      </c>
    </row>
    <row r="9" customFormat="false" ht="15" hidden="false" customHeight="true" outlineLevel="0" collapsed="false">
      <c r="A9" s="1" t="s">
        <v>166</v>
      </c>
      <c r="B9" s="1" t="s">
        <v>167</v>
      </c>
      <c r="C9" s="1" t="s">
        <v>167</v>
      </c>
      <c r="D9" s="44" t="n">
        <f aca="false">B5</f>
        <v>1</v>
      </c>
    </row>
    <row r="10" customFormat="false" ht="15" hidden="false" customHeight="true" outlineLevel="0" collapsed="false">
      <c r="A10" s="1" t="s">
        <v>168</v>
      </c>
      <c r="B10" s="45" t="n">
        <v>0.15</v>
      </c>
      <c r="C10" s="1" t="s">
        <v>68</v>
      </c>
      <c r="D10" s="44" t="n">
        <f aca="false">D9*(1-B10)</f>
        <v>0.85</v>
      </c>
    </row>
    <row r="11" customFormat="false" ht="15" hidden="false" customHeight="true" outlineLevel="0" collapsed="false">
      <c r="A11" s="1" t="s">
        <v>169</v>
      </c>
      <c r="B11" s="45" t="n">
        <v>0.25</v>
      </c>
      <c r="C11" s="1" t="s">
        <v>27</v>
      </c>
      <c r="D11" s="46" t="n">
        <f aca="false">D10*(1-B11)</f>
        <v>0.6375</v>
      </c>
    </row>
    <row r="12" customFormat="false" ht="15" hidden="false" customHeight="true" outlineLevel="0" collapsed="false">
      <c r="A12" s="1" t="s">
        <v>170</v>
      </c>
      <c r="B12" s="45" t="n">
        <v>0.2</v>
      </c>
      <c r="C12" s="1" t="s">
        <v>89</v>
      </c>
      <c r="D12" s="47" t="n">
        <f aca="false">D11*(1-B12)</f>
        <v>0.51</v>
      </c>
    </row>
    <row r="13" customFormat="false" ht="15" hidden="false" customHeight="true" outlineLevel="0" collapsed="false">
      <c r="A13" s="1" t="s">
        <v>171</v>
      </c>
      <c r="B13" s="45" t="n">
        <v>0.15</v>
      </c>
      <c r="C13" s="1" t="s">
        <v>172</v>
      </c>
      <c r="D13" s="47" t="n">
        <f aca="false">D12*(1-B13)</f>
        <v>0.4335</v>
      </c>
    </row>
    <row r="15" customFormat="false" ht="15" hidden="false" customHeight="true" outlineLevel="0" collapsed="false">
      <c r="A15" s="4" t="s">
        <v>173</v>
      </c>
      <c r="B15" s="4"/>
      <c r="C15" s="4"/>
      <c r="D15" s="4"/>
    </row>
    <row r="16" customFormat="false" ht="15" hidden="false" customHeight="true" outlineLevel="0" collapsed="false">
      <c r="A16" s="43" t="s">
        <v>174</v>
      </c>
      <c r="B16" s="43" t="s">
        <v>175</v>
      </c>
      <c r="C16" s="43" t="s">
        <v>176</v>
      </c>
      <c r="D16" s="43" t="s">
        <v>177</v>
      </c>
    </row>
    <row r="17" customFormat="false" ht="15" hidden="false" customHeight="true" outlineLevel="0" collapsed="false">
      <c r="A17" s="1" t="s">
        <v>178</v>
      </c>
      <c r="B17" s="45" t="n">
        <v>0.92</v>
      </c>
      <c r="C17" s="45" t="n">
        <f aca="false">(1-0.08)*(1-0.15)</f>
        <v>0.782</v>
      </c>
      <c r="D17" s="44" t="n">
        <v>0.619344</v>
      </c>
    </row>
    <row r="18" customFormat="false" ht="15" hidden="false" customHeight="true" outlineLevel="0" collapsed="false">
      <c r="A18" s="1" t="s">
        <v>179</v>
      </c>
      <c r="B18" s="45" t="n">
        <v>0.85</v>
      </c>
      <c r="C18" s="45" t="n">
        <f aca="false">(1-0.15)*(1-0.2)</f>
        <v>0.68</v>
      </c>
      <c r="D18" s="44" t="n">
        <v>0.47396</v>
      </c>
    </row>
    <row r="19" customFormat="false" ht="15" hidden="false" customHeight="true" outlineLevel="0" collapsed="false">
      <c r="A19" s="1" t="s">
        <v>180</v>
      </c>
      <c r="B19" s="45" t="n">
        <v>0.8</v>
      </c>
      <c r="C19" s="45" t="n">
        <f aca="false">(1-0.2)*(1-0.25)</f>
        <v>0.6</v>
      </c>
      <c r="D19" s="44" t="n">
        <v>0.408</v>
      </c>
    </row>
    <row r="20" customFormat="false" ht="15" hidden="false" customHeight="true" outlineLevel="0" collapsed="false">
      <c r="A20" s="1" t="s">
        <v>181</v>
      </c>
      <c r="B20" s="45" t="n">
        <v>0.7</v>
      </c>
      <c r="C20" s="45" t="n">
        <f aca="false">(1-0.3)*(1-0.3)</f>
        <v>0.49</v>
      </c>
      <c r="D20" s="46" t="n">
        <v>0.294</v>
      </c>
    </row>
  </sheetData>
  <mergeCells count="2">
    <mergeCell ref="A7:D7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2026-02-04T16:20:00Z</dcterms:created>
  <dc:creator>openpyxl</dc:creator>
  <dc:description/>
  <dc:language>en-US</dc:language>
  <cp:lastModifiedBy/>
  <dcterms:modified xsi:type="dcterms:W3CDTF">2026-02-04T16:21:11Z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