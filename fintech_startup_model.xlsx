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Revenue Model" sheetId="2" state="visible" r:id="rId4"/>
    <sheet name="Unit Economics" sheetId="3" state="visible" r:id="rId5"/>
    <sheet name="Scenario Analysis" sheetId="4" state="visible" r:id="rId6"/>
    <sheet name="Valuation" sheetId="5" state="visible" r:id="rId7"/>
    <sheet name="Financial Projec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<sst xmlns="http://schemas.openxmlformats.org/spreadsheetml/2006/main" count="264" uniqueCount="253">
  <si>
    <t xml:space="preserve">FINTECH STARTUP - EXECUTIVE SUMMARY</t>
  </si>
  <si>
    <t xml:space="preserve">Banking, Payments, FX, Lending &amp; Personal Finance Platform</t>
  </si>
  <si>
    <t xml:space="preserve">BUSINESS MODEL OVERVIEW</t>
  </si>
  <si>
    <t xml:space="preserve">1. Transaction Fees (Domestic &amp; International)</t>
  </si>
  <si>
    <t xml:space="preserve">2. FX Spreads (Fiat &amp; Crypto)</t>
  </si>
  <si>
    <t xml:space="preserve">3. Interchange Fees (Debit Card Program)</t>
  </si>
  <si>
    <t xml:space="preserve">4. Lending Revenue (Loans, Credit Lines, Interest)</t>
  </si>
  <si>
    <t xml:space="preserve">5. BNPL Merchant Fees</t>
  </si>
  <si>
    <t xml:space="preserve">6. Premium Account Subscriptions</t>
  </si>
  <si>
    <t xml:space="preserve">7. Net Interest Margin on Deposits</t>
  </si>
  <si>
    <t xml:space="preserve">8. Investment Advisory Fees (Robo-Advisor)</t>
  </si>
  <si>
    <t xml:space="preserve">9. Partner Referral Commissions</t>
  </si>
  <si>
    <t xml:space="preserve">KEY METRICS (Year 1)</t>
  </si>
  <si>
    <t xml:space="preserve">Total Users</t>
  </si>
  <si>
    <t xml:space="preserve">Monthly Active Users</t>
  </si>
  <si>
    <t xml:space="preserve">Total Revenue</t>
  </si>
  <si>
    <t xml:space="preserve">EBITDA</t>
  </si>
  <si>
    <t xml:space="preserve">EBITDA Margin</t>
  </si>
  <si>
    <t xml:space="preserve">UNIT ECONOMICS</t>
  </si>
  <si>
    <t xml:space="preserve">Monthly Revenue per Active User</t>
  </si>
  <si>
    <t xml:space="preserve">Contribution Margin per User</t>
  </si>
  <si>
    <t xml:space="preserve">Contribution Margin %</t>
  </si>
  <si>
    <t xml:space="preserve">Customer Acquisition Cost</t>
  </si>
  <si>
    <t xml:space="preserve">Payback Period (months)</t>
  </si>
  <si>
    <t xml:space="preserve">LTV / CAC (3 year)</t>
  </si>
  <si>
    <t xml:space="preserve">VALUATION</t>
  </si>
  <si>
    <t xml:space="preserve">Pre-Money Valuation</t>
  </si>
  <si>
    <t xml:space="preserve">Post-Money Valuation</t>
  </si>
  <si>
    <t xml:space="preserve">Investment Amount</t>
  </si>
  <si>
    <t xml:space="preserve">Investor Ownership %</t>
  </si>
  <si>
    <t xml:space="preserve">FINTECH REVENUE MODEL - ASSUMPTIONS</t>
  </si>
  <si>
    <t xml:space="preserve">USER BASE ASSUMPTIONS</t>
  </si>
  <si>
    <t xml:space="preserve">Starting Users (Year 0)</t>
  </si>
  <si>
    <t xml:space="preserve">Initial registered users</t>
  </si>
  <si>
    <t xml:space="preserve">User Growth Rate Y1 (%)</t>
  </si>
  <si>
    <t xml:space="preserve">200% growth in year 1</t>
  </si>
  <si>
    <t xml:space="preserve">User Growth Rate Y2 (%)</t>
  </si>
  <si>
    <t xml:space="preserve">150% growth in year 2</t>
  </si>
  <si>
    <t xml:space="preserve">User Growth Rate Y3 (%)</t>
  </si>
  <si>
    <t xml:space="preserve">100% growth in year 3</t>
  </si>
  <si>
    <t xml:space="preserve">User Growth Rate Y4 (%)</t>
  </si>
  <si>
    <t xml:space="preserve">60% growth in year 4</t>
  </si>
  <si>
    <t xml:space="preserve">User Growth Rate Y5 (%)</t>
  </si>
  <si>
    <t xml:space="preserve">40% growth in year 5</t>
  </si>
  <si>
    <t xml:space="preserve">Active User Rate (%)</t>
  </si>
  <si>
    <t xml:space="preserve">% of users who are monthly active</t>
  </si>
  <si>
    <t xml:space="preserve">Premium User Conversion (%)</t>
  </si>
  <si>
    <t xml:space="preserve">% of active users on paid plans</t>
  </si>
  <si>
    <t xml:space="preserve">TRANSACTION FEES &amp; FX REVENUE</t>
  </si>
  <si>
    <t xml:space="preserve">Avg Transactions per Active User/Month</t>
  </si>
  <si>
    <t xml:space="preserve">Payment transactions per user</t>
  </si>
  <si>
    <t xml:space="preserve">Avg Transaction Value ($)</t>
  </si>
  <si>
    <t xml:space="preserve">Average payment amount</t>
  </si>
  <si>
    <t xml:space="preserve">Transaction Fee Rate (%)</t>
  </si>
  <si>
    <t xml:space="preserve">2.75% average fee</t>
  </si>
  <si>
    <t xml:space="preserve">International Transaction % of Total</t>
  </si>
  <si>
    <t xml:space="preserve">35% are cross-border</t>
  </si>
  <si>
    <t xml:space="preserve">International Transaction Markup (%)</t>
  </si>
  <si>
    <t xml:space="preserve">Additional 1.5% on international</t>
  </si>
  <si>
    <t xml:space="preserve">FX Transactions per Active User/Month</t>
  </si>
  <si>
    <t xml:space="preserve">Currency exchanges per user</t>
  </si>
  <si>
    <t xml:space="preserve">Avg FX Transaction Size ($)</t>
  </si>
  <si>
    <t xml:space="preserve">Average FX conversion amount</t>
  </si>
  <si>
    <t xml:space="preserve">FX Spread (%)</t>
  </si>
  <si>
    <t xml:space="preserve">0.8% spread on FX</t>
  </si>
  <si>
    <t xml:space="preserve">Crypto FX % of Total</t>
  </si>
  <si>
    <t xml:space="preserve">15% involve crypto</t>
  </si>
  <si>
    <t xml:space="preserve">Crypto FX Spread (%)</t>
  </si>
  <si>
    <t xml:space="preserve">2.5% spread on crypto FX</t>
  </si>
  <si>
    <t xml:space="preserve">INTERCHANGE FEES (DEBIT CARD PROGRAM)</t>
  </si>
  <si>
    <t xml:space="preserve">Card Active Rate (%)</t>
  </si>
  <si>
    <t xml:space="preserve">% of active users with active cards</t>
  </si>
  <si>
    <t xml:space="preserve">Card Spend per Active Card/Month ($)</t>
  </si>
  <si>
    <t xml:space="preserve">Average monthly card spend</t>
  </si>
  <si>
    <t xml:space="preserve">Domestic Interchange Rate (%)</t>
  </si>
  <si>
    <t xml:space="preserve">1.15% average interchange</t>
  </si>
  <si>
    <t xml:space="preserve">International Card Spend % of Total</t>
  </si>
  <si>
    <t xml:space="preserve">25% spent internationally</t>
  </si>
  <si>
    <t xml:space="preserve">International Interchange Rate (%)</t>
  </si>
  <si>
    <t xml:space="preserve">1.65% on international</t>
  </si>
  <si>
    <t xml:space="preserve">ATM Withdrawals per Card/Month</t>
  </si>
  <si>
    <t xml:space="preserve">Average ATM usage</t>
  </si>
  <si>
    <t xml:space="preserve">ATM Fee per Withdrawal ($)</t>
  </si>
  <si>
    <t xml:space="preserve">Fee per ATM transaction</t>
  </si>
  <si>
    <t xml:space="preserve">LENDING &amp; CREDIT REVENUE</t>
  </si>
  <si>
    <t xml:space="preserve">Loan Penetration Rate (%)</t>
  </si>
  <si>
    <t xml:space="preserve">% of active users with loans</t>
  </si>
  <si>
    <t xml:space="preserve">Avg Loan Balance per Borrower ($)</t>
  </si>
  <si>
    <t xml:space="preserve">Average outstanding balance</t>
  </si>
  <si>
    <t xml:space="preserve">Annual Interest Rate (%)</t>
  </si>
  <si>
    <t xml:space="preserve">18.9% APR average</t>
  </si>
  <si>
    <t xml:space="preserve">Loan Origination Fee (%)</t>
  </si>
  <si>
    <t xml:space="preserve">2.5% origination fee</t>
  </si>
  <si>
    <t xml:space="preserve">Credit Line Penetration (%)</t>
  </si>
  <si>
    <t xml:space="preserve">% with credit lines</t>
  </si>
  <si>
    <t xml:space="preserve">Avg Credit Line Size ($)</t>
  </si>
  <si>
    <t xml:space="preserve">Average credit limit</t>
  </si>
  <si>
    <t xml:space="preserve">Credit Line Utilization (%)</t>
  </si>
  <si>
    <t xml:space="preserve">% of limit used</t>
  </si>
  <si>
    <t xml:space="preserve">Credit Line APR (%)</t>
  </si>
  <si>
    <t xml:space="preserve">22.9% APR on credit lines</t>
  </si>
  <si>
    <t xml:space="preserve">Buy Now Pay Later (BNPL) Penetration</t>
  </si>
  <si>
    <t xml:space="preserve">% using BNPL</t>
  </si>
  <si>
    <t xml:space="preserve">BNPL Transactions per User/Month</t>
  </si>
  <si>
    <t xml:space="preserve">Monthly BNPL usage</t>
  </si>
  <si>
    <t xml:space="preserve">Avg BNPL Transaction ($)</t>
  </si>
  <si>
    <t xml:space="preserve">Average BNPL amount</t>
  </si>
  <si>
    <t xml:space="preserve">Merchant Discount Rate - BNPL (%)</t>
  </si>
  <si>
    <t xml:space="preserve">4.5% from merchants</t>
  </si>
  <si>
    <t xml:space="preserve">BANKING &amp; PERSONAL FINANCE SUBSCRIPTIONS</t>
  </si>
  <si>
    <t xml:space="preserve">Premium Account Fee ($/month)</t>
  </si>
  <si>
    <t xml:space="preserve">Monthly subscription fee</t>
  </si>
  <si>
    <t xml:space="preserve">Premium Features Adoption (%)</t>
  </si>
  <si>
    <t xml:space="preserve">% choosing premium</t>
  </si>
  <si>
    <t xml:space="preserve">Account Interest Spread (%)</t>
  </si>
  <si>
    <t xml:space="preserve">2.25% spread on deposits</t>
  </si>
  <si>
    <t xml:space="preserve">Avg Deposit Balance per User ($)</t>
  </si>
  <si>
    <t xml:space="preserve">Average account balance</t>
  </si>
  <si>
    <t xml:space="preserve">Interest-Earning User % </t>
  </si>
  <si>
    <t xml:space="preserve">% with meaningful balances</t>
  </si>
  <si>
    <t xml:space="preserve">Financial Planning Tools Revenue</t>
  </si>
  <si>
    <t xml:space="preserve">  Investment Advisory Fee (% AUM)</t>
  </si>
  <si>
    <t xml:space="preserve">0.85% annual fee</t>
  </si>
  <si>
    <t xml:space="preserve">  Investors as % of Active Users</t>
  </si>
  <si>
    <t xml:space="preserve">15% use investment tools</t>
  </si>
  <si>
    <t xml:space="preserve">  Avg Investment Balance ($)</t>
  </si>
  <si>
    <t xml:space="preserve">Average investment account</t>
  </si>
  <si>
    <t xml:space="preserve">Partner Referral Revenue</t>
  </si>
  <si>
    <t xml:space="preserve">  Referrals per Active User/Year</t>
  </si>
  <si>
    <t xml:space="preserve">Annual partner referrals</t>
  </si>
  <si>
    <t xml:space="preserve">  Avg Referral Fee ($)</t>
  </si>
  <si>
    <t xml:space="preserve">Commission per referral</t>
  </si>
  <si>
    <t xml:space="preserve">COST STRUCTURE</t>
  </si>
  <si>
    <t xml:space="preserve">Processing Costs (% of Payment GMV)</t>
  </si>
  <si>
    <t xml:space="preserve">1.8% payment processing</t>
  </si>
  <si>
    <t xml:space="preserve">FX Provider Costs (% of FX Volume)</t>
  </si>
  <si>
    <t xml:space="preserve">0.3% FX backend costs</t>
  </si>
  <si>
    <t xml:space="preserve">Card Network Fees (% of Card Spend)</t>
  </si>
  <si>
    <t xml:space="preserve">0.4% Visa/Mastercard fees</t>
  </si>
  <si>
    <t xml:space="preserve">Cost of Funds for Lending (%)</t>
  </si>
  <si>
    <t xml:space="preserve">6.5% cost of capital</t>
  </si>
  <si>
    <t xml:space="preserve">Loan Loss Reserve (%)</t>
  </si>
  <si>
    <t xml:space="preserve">3.5% expected losses</t>
  </si>
  <si>
    <t xml:space="preserve">Customer Acquisition Cost ($/user)</t>
  </si>
  <si>
    <t xml:space="preserve">CAC per new user</t>
  </si>
  <si>
    <t xml:space="preserve">Technology &amp; Infrastructure (% Revenue)</t>
  </si>
  <si>
    <t xml:space="preserve">15% of revenue</t>
  </si>
  <si>
    <t xml:space="preserve">Compliance &amp; Regulatory (% Revenue)</t>
  </si>
  <si>
    <t xml:space="preserve">8% of revenue</t>
  </si>
  <si>
    <t xml:space="preserve">UNIT ECONOMICS - PER ACTIVE USER PER MONTH</t>
  </si>
  <si>
    <t xml:space="preserve">Monthly Revenue &amp; Costs per Active User</t>
  </si>
  <si>
    <t xml:space="preserve">REVENUE PER ACTIVE USER</t>
  </si>
  <si>
    <t xml:space="preserve">Transaction Fees - Domestic</t>
  </si>
  <si>
    <t xml:space="preserve">Transaction Fees - International</t>
  </si>
  <si>
    <t xml:space="preserve">FX Spread - Fiat</t>
  </si>
  <si>
    <t xml:space="preserve">FX Spread - Crypto</t>
  </si>
  <si>
    <t xml:space="preserve">Interchange - Domestic Cards</t>
  </si>
  <si>
    <t xml:space="preserve">Interchange - International Cards</t>
  </si>
  <si>
    <t xml:space="preserve">ATM Fee Income</t>
  </si>
  <si>
    <t xml:space="preserve">Loan Interest (Monthly)</t>
  </si>
  <si>
    <t xml:space="preserve">Loan Origination Fees (Monthly)</t>
  </si>
  <si>
    <t xml:space="preserve">Credit Line Interest</t>
  </si>
  <si>
    <t xml:space="preserve">BNPL Merchant Fees</t>
  </si>
  <si>
    <t xml:space="preserve">Premium Subscription</t>
  </si>
  <si>
    <t xml:space="preserve">Net Interest Margin (Deposits)</t>
  </si>
  <si>
    <t xml:space="preserve">Investment Advisory Fees</t>
  </si>
  <si>
    <t xml:space="preserve">Partner Referrals</t>
  </si>
  <si>
    <t xml:space="preserve">TOTAL REVENUE PER USER/MONTH</t>
  </si>
  <si>
    <t xml:space="preserve">COSTS PER ACTIVE USER</t>
  </si>
  <si>
    <t xml:space="preserve">Payment Processing Costs</t>
  </si>
  <si>
    <t xml:space="preserve">FX Backend Costs</t>
  </si>
  <si>
    <t xml:space="preserve">Card Network Fees</t>
  </si>
  <si>
    <t xml:space="preserve">Cost of Funds (Lending)</t>
  </si>
  <si>
    <t xml:space="preserve">Loan Loss Provision</t>
  </si>
  <si>
    <t xml:space="preserve">Technology &amp; Infrastructure</t>
  </si>
  <si>
    <t xml:space="preserve">Compliance &amp; Regulatory</t>
  </si>
  <si>
    <t xml:space="preserve">TOTAL COSTS PER USER/MONTH</t>
  </si>
  <si>
    <t xml:space="preserve">CONTRIBUTION MARGIN PER USER</t>
  </si>
  <si>
    <t xml:space="preserve">ANNUAL METRICS</t>
  </si>
  <si>
    <t xml:space="preserve">Annual Revenue per Active User</t>
  </si>
  <si>
    <t xml:space="preserve">Customer Acquisition Cost (CAC)</t>
  </si>
  <si>
    <t xml:space="preserve">Months to Recover CAC</t>
  </si>
  <si>
    <t xml:space="preserve">LTV / CAC Ratio (3 year)</t>
  </si>
  <si>
    <t xml:space="preserve">SCENARIO ANALYSIS - VALUATION OUTCOMES</t>
  </si>
  <si>
    <t xml:space="preserve">Compare different funding scenarios and business performance</t>
  </si>
  <si>
    <t xml:space="preserve">SCENARIOS</t>
  </si>
  <si>
    <t xml:space="preserve">Conservative</t>
  </si>
  <si>
    <t xml:space="preserve">Base Case</t>
  </si>
  <si>
    <t xml:space="preserve">Growth</t>
  </si>
  <si>
    <t xml:space="preserve">Aggressive</t>
  </si>
  <si>
    <t xml:space="preserve">Optimistic</t>
  </si>
  <si>
    <t xml:space="preserve">FUNDING ASSUMPTIONS</t>
  </si>
  <si>
    <t xml:space="preserve">Pre-Money Valuation ($M)</t>
  </si>
  <si>
    <t xml:space="preserve">Investment Amount ($M)</t>
  </si>
  <si>
    <t xml:space="preserve">CALCULATED OUTCOMES</t>
  </si>
  <si>
    <t xml:space="preserve">Investor Equity %</t>
  </si>
  <si>
    <t xml:space="preserve">Founder Dilution %</t>
  </si>
  <si>
    <t xml:space="preserve">$ Raised per 1% Equity</t>
  </si>
  <si>
    <t xml:space="preserve">BUSINESS PERFORMANCE SCENARIOS</t>
  </si>
  <si>
    <t xml:space="preserve">Year 1 User Growth Multiplier</t>
  </si>
  <si>
    <t xml:space="preserve">Revenue per User Multiplier</t>
  </si>
  <si>
    <t xml:space="preserve">PROJECTED YEAR 1 RESULTS</t>
  </si>
  <si>
    <t xml:space="preserve">Total Users (Year 1)</t>
  </si>
  <si>
    <t xml:space="preserve">Annual Revenue</t>
  </si>
  <si>
    <t xml:space="preserve">Revenue / Valuation Multiple</t>
  </si>
  <si>
    <t xml:space="preserve">SCENARIO ASSESSMENT</t>
  </si>
  <si>
    <t xml:space="preserve">Capital Efficiency Rating</t>
  </si>
  <si>
    <t xml:space="preserve">Weak</t>
  </si>
  <si>
    <t xml:space="preserve">Fair</t>
  </si>
  <si>
    <t xml:space="preserve">Good</t>
  </si>
  <si>
    <t xml:space="preserve">Strong</t>
  </si>
  <si>
    <t xml:space="preserve">Excellent</t>
  </si>
  <si>
    <t xml:space="preserve">STARTUP VALUATION CALCULATOR</t>
  </si>
  <si>
    <t xml:space="preserve">CURRENT COMPANY STATUS</t>
  </si>
  <si>
    <t xml:space="preserve">Current Shares Outstanding</t>
  </si>
  <si>
    <t xml:space="preserve">FUNDING ROUND INPUTS</t>
  </si>
  <si>
    <t xml:space="preserve">Pre-Money Valuation ($)</t>
  </si>
  <si>
    <t xml:space="preserve">Investment Amount ($)</t>
  </si>
  <si>
    <t xml:space="preserve">CALCULATED RESULTS</t>
  </si>
  <si>
    <t xml:space="preserve">Price per Share (Pre-Money)</t>
  </si>
  <si>
    <t xml:space="preserve">New Shares Issued</t>
  </si>
  <si>
    <t xml:space="preserve">Total Shares Post-Money</t>
  </si>
  <si>
    <t xml:space="preserve">Founder Ownership %</t>
  </si>
  <si>
    <t xml:space="preserve">5-YEAR FINANCIAL PROJECTIONS</t>
  </si>
  <si>
    <t xml:space="preserve">All figures in USD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</si>
  <si>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</si>
  <si>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</si>
  <si>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</si>
  <si>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</si>
  <si>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</si>
  <si>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</si>
  <si>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USER METRICS</t>
  </si>
  <si>
    <t xml:space="preserve">Total Registered Users</t>
  </si>
  <si>
    <t xml:space="preserve">Monthly Active Users (MAU)</t>
  </si>
  <si>
    <t xml:space="preserve">Premium Users</t>
  </si>
  <si>
    <t xml:space="preserve">ANNUAL REVENUE BY STREAM</t>
  </si>
  <si>
    <t xml:space="preserve">Transaction Fees</t>
  </si>
  <si>
    <t xml:space="preserve">FX Spread Revenue</t>
  </si>
  <si>
    <t xml:space="preserve">Interchange Fees</t>
  </si>
  <si>
    <t xml:space="preserve">Lending Revenue</t>
  </si>
  <si>
    <t xml:space="preserve">Subscription Revenue</t>
  </si>
  <si>
    <t xml:space="preserve">Net Interest Income</t>
  </si>
  <si>
    <t xml:space="preserve">Investment Advisory</t>
  </si>
  <si>
    <t xml:space="preserve">TOTAL REVENUE</t>
  </si>
  <si>
    <t xml:space="preserve">OPERATING EXPENSES</t>
  </si>
  <si>
    <t xml:space="preserve">Variable Costs</t>
  </si>
  <si>
    <t xml:space="preserve">Customer Acquisition</t>
  </si>
  <si>
    <t xml:space="preserve">Salaries &amp; Benefits</t>
  </si>
  <si>
    <t xml:space="preserve">Marketing &amp; Sales</t>
  </si>
  <si>
    <t xml:space="preserve">General &amp; Administrative</t>
  </si>
  <si>
    <t xml:space="preserve">TOTAL OPERATING EXPENSES</t>
  </si>
  <si>
    <t xml:space="preserve">PROFITABILITY</t>
  </si>
  <si>
    <t xml:space="preserve">EBITDA Margin %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</si>
</sst>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;\(#,##0\);\-"/>
    <numFmt numFmtId="166" formatCode="\$#,##0;&quot;($&quot;#,##0\);\-"/>
    <numFmt numFmtId="167" formatCode="0.0%;\(0.0%\);\-"/>
    <numFmt numFmtId="168" formatCode="\$#,##0.00;&quot;($&quot;#,##0.00\);\-"/>
    <numFmt numFmtId="169" formatCode="#,##0.0;\(#,##0.0\);\-"/>
    <numFmt numFmtId="170" formatCode="0.0\x"/>
    <numFmt numFmtId="171" formatCode="#,##0;\(#,##0\);\-"/>
    <numFmt numFmtId="172" formatCode="0.0%;\(0.0%\);\-"/>
    <numFmt numFmtId="173" formatCode="#,##0.0;\(#,##0.0\);\-"/>
    <numFmt numFmtId="174" formatCode="\$#,##0;&quot;($&quot;#,##0\);\-"/>
    <numFmt numFmtId="175" formatCode="0.00%;\(0.00%\);\-"/>
    <numFmt numFmtId="176" formatCode="\$#,##0.00;&quot;($&quot;#,##0.00\);\-"/>
    <numFmt numFmtId="177" formatCode="0.0\x"/>
    <numFmt numFmtId="178" formatCode="\$#,##0.0000;&quot;($&quot;#,##0.000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3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4"/>
      <c r="C5" s="4"/>
    </row>
    <row r="6" customFormat="false" ht="15" hidden="false" customHeight="false" outlineLevel="0" collapsed="false">
      <c r="A6" s="4" t="s">
        <v>4</v>
      </c>
      <c r="B6" s="4"/>
      <c r="C6" s="4"/>
    </row>
    <row r="7" customFormat="false" ht="15" hidden="false" customHeight="false" outlineLevel="0" collapsed="false">
      <c r="A7" s="4" t="s">
        <v>5</v>
      </c>
      <c r="B7" s="4"/>
      <c r="C7" s="4"/>
    </row>
    <row r="8" customFormat="false" ht="15" hidden="false" customHeight="false" outlineLevel="0" collapsed="false">
      <c r="A8" s="4" t="s">
        <v>6</v>
      </c>
      <c r="B8" s="4"/>
      <c r="C8" s="4"/>
    </row>
    <row r="9" customFormat="false" ht="15" hidden="false" customHeight="false" outlineLevel="0" collapsed="false">
      <c r="A9" s="4" t="s">
        <v>7</v>
      </c>
      <c r="B9" s="4"/>
      <c r="C9" s="4"/>
    </row>
    <row r="10" customFormat="false" ht="15" hidden="false" customHeight="false" outlineLevel="0" collapsed="false">
      <c r="A10" s="4" t="s">
        <v>8</v>
      </c>
      <c r="B10" s="4"/>
      <c r="C10" s="4"/>
    </row>
    <row r="11" customFormat="false" ht="15" hidden="false" customHeight="false" outlineLevel="0" collapsed="false">
      <c r="A11" s="4" t="s">
        <v>9</v>
      </c>
      <c r="B11" s="4"/>
      <c r="C11" s="4"/>
    </row>
    <row r="12" customFormat="false" ht="15" hidden="false" customHeight="false" outlineLevel="0" collapsed="false">
      <c r="A12" s="4" t="s">
        <v>10</v>
      </c>
      <c r="B12" s="4"/>
      <c r="C12" s="4"/>
    </row>
    <row r="13" customFormat="false" ht="15" hidden="false" customHeight="false" outlineLevel="0" collapsed="false">
      <c r="A13" s="4" t="s">
        <v>11</v>
      </c>
      <c r="B13" s="4"/>
      <c r="C13" s="4"/>
    </row>
    <row r="15" customFormat="false" ht="15" hidden="false" customHeight="false" outlineLevel="0" collapsed="false">
      <c r="A15" s="3" t="s">
        <v>12</v>
      </c>
      <c r="B15" s="3"/>
      <c r="C15" s="3"/>
    </row>
    <row r="16" customFormat="false" ht="15" hidden="false" customHeight="false" outlineLevel="0" collapsed="false">
      <c r="A16" s="0" t="s">
        <v>13</v>
      </c>
      <c r="B16" s="5" t="n">
        <f aca="false">'Financial Projections'!C6</f>
        <v>30000</v>
      </c>
    </row>
    <row r="17" customFormat="false" ht="15" hidden="false" customHeight="false" outlineLevel="0" collapsed="false">
      <c r="A17" s="0" t="s">
        <v>14</v>
      </c>
      <c r="B17" s="5" t="n">
        <f aca="false">'Financial Projections'!C7</f>
        <v>19500</v>
      </c>
    </row>
    <row r="18" customFormat="false" ht="15" hidden="false" customHeight="false" outlineLevel="0" collapsed="false">
      <c r="A18" s="0" t="s">
        <v>15</v>
      </c>
      <c r="B18" s="6" t="n">
        <f aca="false">'Financial Projections'!C20</f>
        <v>209601.054</v>
      </c>
    </row>
    <row r="19" customFormat="false" ht="15" hidden="false" customHeight="false" outlineLevel="0" collapsed="false">
      <c r="A19" s="0" t="s">
        <v>16</v>
      </c>
      <c r="B19" s="7" t="n">
        <f aca="false">'Financial Projections'!C33</f>
        <v>0</v>
      </c>
    </row>
    <row r="20" customFormat="false" ht="15" hidden="false" customHeight="false" outlineLevel="0" collapsed="false">
      <c r="A20" s="0" t="s">
        <v>17</v>
      </c>
      <c r="B20" s="8" t="n">
        <f aca="false">'Financial Projections'!C34</f>
        <v>0</v>
      </c>
    </row>
    <row r="22" customFormat="false" ht="15" hidden="false" customHeight="false" outlineLevel="0" collapsed="false">
      <c r="A22" s="3" t="s">
        <v>18</v>
      </c>
      <c r="B22" s="3"/>
      <c r="C22" s="3"/>
    </row>
    <row r="23" customFormat="false" ht="15" hidden="false" customHeight="false" outlineLevel="0" collapsed="false">
      <c r="A23" s="0" t="s">
        <v>19</v>
      </c>
      <c r="B23" s="9" t="n">
        <f aca="false">'Unit Economics'!B20</f>
        <v>0.895875375</v>
      </c>
    </row>
    <row r="24" customFormat="false" ht="15" hidden="false" customHeight="false" outlineLevel="0" collapsed="false">
      <c r="A24" s="0" t="s">
        <v>20</v>
      </c>
      <c r="B24" s="10" t="n">
        <f aca="false">'Unit Economics'!B32</f>
        <v>0.463065375</v>
      </c>
    </row>
    <row r="25" customFormat="false" ht="15" hidden="false" customHeight="false" outlineLevel="0" collapsed="false">
      <c r="A25" s="0" t="s">
        <v>21</v>
      </c>
      <c r="B25" s="8" t="n">
        <f aca="false">'Unit Economics'!B33</f>
        <v>0.516885928469683</v>
      </c>
    </row>
    <row r="26" customFormat="false" ht="15" hidden="false" customHeight="false" outlineLevel="0" collapsed="false">
      <c r="A26" s="0" t="s">
        <v>22</v>
      </c>
      <c r="B26" s="10" t="n">
        <f aca="false">'Unit Economics'!B37</f>
        <v>0</v>
      </c>
    </row>
    <row r="27" customFormat="false" ht="15" hidden="false" customHeight="false" outlineLevel="0" collapsed="false">
      <c r="A27" s="0" t="s">
        <v>23</v>
      </c>
      <c r="B27" s="11" t="n">
        <f aca="false">'Unit Economics'!B38</f>
        <v>0</v>
      </c>
    </row>
    <row r="28" customFormat="false" ht="15" hidden="false" customHeight="false" outlineLevel="0" collapsed="false">
      <c r="A28" s="0" t="s">
        <v>24</v>
      </c>
      <c r="B28" s="12" t="n">
        <f aca="false">'Unit Economics'!B39</f>
        <v>0</v>
      </c>
    </row>
    <row r="30" customFormat="false" ht="15" hidden="false" customHeight="false" outlineLevel="0" collapsed="false">
      <c r="A30" s="3" t="s">
        <v>25</v>
      </c>
      <c r="B30" s="3"/>
      <c r="C30" s="3"/>
    </row>
    <row r="31" customFormat="false" ht="15" hidden="false" customHeight="false" outlineLevel="0" collapsed="false">
      <c r="A31" s="0" t="s">
        <v>26</v>
      </c>
      <c r="B31" s="13" t="n">
        <f aca="false">Valuation!B7</f>
        <v>8000000</v>
      </c>
    </row>
    <row r="32" customFormat="false" ht="15" hidden="false" customHeight="false" outlineLevel="0" collapsed="false">
      <c r="A32" s="0" t="s">
        <v>27</v>
      </c>
      <c r="B32" s="6" t="n">
        <f aca="false">Valuation!B11</f>
        <v>10000000</v>
      </c>
    </row>
    <row r="33" customFormat="false" ht="15" hidden="false" customHeight="false" outlineLevel="0" collapsed="false">
      <c r="A33" s="0" t="s">
        <v>28</v>
      </c>
      <c r="B33" s="13" t="n">
        <f aca="false">Valuation!B8</f>
        <v>2000000</v>
      </c>
    </row>
    <row r="34" customFormat="false" ht="15" hidden="false" customHeight="false" outlineLevel="0" collapsed="false">
      <c r="A34" s="0" t="s">
        <v>29</v>
      </c>
      <c r="B34" s="8" t="n">
        <f aca="false">Valuation!B15</f>
        <v>0.2</v>
      </c>
    </row>
  </sheetData>
  <mergeCells count="15">
    <mergeCell ref="A1:C1"/>
    <mergeCell ref="A2:C2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5:C15"/>
    <mergeCell ref="A22:C22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4" width="35"/>
    <col collapsed="false" customWidth="true" hidden="false" outlineLevel="0" max="2" min="2" style="14" width="15"/>
    <col collapsed="false" customWidth="true" hidden="false" outlineLevel="0" max="3" min="3" style="14" width="40"/>
  </cols>
  <sheetData>
    <row r="1" customFormat="false" ht="17.25" hidden="false" customHeight="true" outlineLevel="0" collapsed="false">
      <c r="A1" s="15" t="s">
        <v>30</v>
      </c>
    </row>
    <row r="2" customFormat="false" ht="15" hidden="false" customHeight="true" outlineLevel="0" collapsed="false">
      <c r="A2" s="16" t="s">
        <v>1</v>
      </c>
    </row>
    <row r="4" customFormat="false" ht="15" hidden="false" customHeight="true" outlineLevel="0" collapsed="false">
      <c r="A4" s="17" t="s">
        <v>31</v>
      </c>
      <c r="B4" s="17"/>
      <c r="C4" s="17"/>
    </row>
    <row r="5" customFormat="false" ht="15" hidden="false" customHeight="true" outlineLevel="0" collapsed="false">
      <c r="A5" s="14" t="s">
        <v>32</v>
      </c>
      <c r="B5" s="18" t="n">
        <v>10000</v>
      </c>
      <c r="C5" s="19" t="s">
        <v>33</v>
      </c>
    </row>
    <row r="6" customFormat="false" ht="15" hidden="false" customHeight="true" outlineLevel="0" collapsed="false">
      <c r="A6" s="14" t="s">
        <v>34</v>
      </c>
      <c r="B6" s="20" t="n">
        <v>2</v>
      </c>
      <c r="C6" s="19" t="s">
        <v>35</v>
      </c>
    </row>
    <row r="7" customFormat="false" ht="15" hidden="false" customHeight="true" outlineLevel="0" collapsed="false">
      <c r="A7" s="14" t="s">
        <v>36</v>
      </c>
      <c r="B7" s="20" t="n">
        <v>1.5</v>
      </c>
      <c r="C7" s="19" t="s">
        <v>37</v>
      </c>
    </row>
    <row r="8" customFormat="false" ht="15" hidden="false" customHeight="true" outlineLevel="0" collapsed="false">
      <c r="A8" s="14" t="s">
        <v>38</v>
      </c>
      <c r="B8" s="20" t="n">
        <v>1</v>
      </c>
      <c r="C8" s="19" t="s">
        <v>39</v>
      </c>
    </row>
    <row r="9" customFormat="false" ht="15" hidden="false" customHeight="true" outlineLevel="0" collapsed="false">
      <c r="A9" s="14" t="s">
        <v>40</v>
      </c>
      <c r="B9" s="20" t="n">
        <v>0.6</v>
      </c>
      <c r="C9" s="19" t="s">
        <v>41</v>
      </c>
    </row>
    <row r="10" customFormat="false" ht="15" hidden="false" customHeight="true" outlineLevel="0" collapsed="false">
      <c r="A10" s="14" t="s">
        <v>42</v>
      </c>
      <c r="B10" s="20" t="n">
        <v>0.4</v>
      </c>
      <c r="C10" s="19" t="s">
        <v>43</v>
      </c>
    </row>
    <row r="11" customFormat="false" ht="15" hidden="false" customHeight="true" outlineLevel="0" collapsed="false">
      <c r="A11" s="14" t="s">
        <v>44</v>
      </c>
      <c r="B11" s="20" t="n">
        <v>0.65</v>
      </c>
      <c r="C11" s="19" t="s">
        <v>45</v>
      </c>
    </row>
    <row r="12" customFormat="false" ht="15" hidden="false" customHeight="true" outlineLevel="0" collapsed="false">
      <c r="A12" s="14" t="s">
        <v>46</v>
      </c>
      <c r="B12" s="20" t="n">
        <v>0.12</v>
      </c>
      <c r="C12" s="19" t="s">
        <v>47</v>
      </c>
    </row>
    <row r="14" customFormat="false" ht="15" hidden="false" customHeight="true" outlineLevel="0" collapsed="false">
      <c r="A14" s="17" t="s">
        <v>48</v>
      </c>
      <c r="B14" s="17"/>
      <c r="C14" s="17"/>
    </row>
    <row r="15" customFormat="false" ht="15" hidden="false" customHeight="true" outlineLevel="0" collapsed="false">
      <c r="A15" s="14" t="s">
        <v>49</v>
      </c>
      <c r="B15" s="21" t="n">
        <v>8.5</v>
      </c>
      <c r="C15" s="19" t="s">
        <v>50</v>
      </c>
    </row>
    <row r="16" customFormat="false" ht="15" hidden="false" customHeight="true" outlineLevel="0" collapsed="false">
      <c r="A16" s="14" t="s">
        <v>51</v>
      </c>
      <c r="B16" s="22" t="n">
        <v>125</v>
      </c>
      <c r="C16" s="19" t="s">
        <v>52</v>
      </c>
    </row>
    <row r="17" customFormat="false" ht="15" hidden="false" customHeight="true" outlineLevel="0" collapsed="false">
      <c r="A17" s="14" t="s">
        <v>53</v>
      </c>
      <c r="B17" s="23" t="n">
        <v>0.0275</v>
      </c>
      <c r="C17" s="19" t="s">
        <v>54</v>
      </c>
    </row>
    <row r="18" customFormat="false" ht="15" hidden="false" customHeight="true" outlineLevel="0" collapsed="false">
      <c r="A18" s="14" t="s">
        <v>55</v>
      </c>
      <c r="B18" s="23" t="n">
        <v>0.35</v>
      </c>
      <c r="C18" s="19" t="s">
        <v>56</v>
      </c>
    </row>
    <row r="19" customFormat="false" ht="15" hidden="false" customHeight="true" outlineLevel="0" collapsed="false">
      <c r="A19" s="14" t="s">
        <v>57</v>
      </c>
      <c r="B19" s="23" t="n">
        <v>0.015</v>
      </c>
      <c r="C19" s="19" t="s">
        <v>58</v>
      </c>
    </row>
    <row r="20" customFormat="false" ht="15" hidden="false" customHeight="true" outlineLevel="0" collapsed="false">
      <c r="C20" s="19"/>
    </row>
    <row r="21" customFormat="false" ht="15" hidden="false" customHeight="true" outlineLevel="0" collapsed="false">
      <c r="A21" s="14" t="s">
        <v>59</v>
      </c>
      <c r="B21" s="21" t="n">
        <v>2.5</v>
      </c>
      <c r="C21" s="19" t="s">
        <v>60</v>
      </c>
    </row>
    <row r="22" customFormat="false" ht="15" hidden="false" customHeight="true" outlineLevel="0" collapsed="false">
      <c r="A22" s="14" t="s">
        <v>61</v>
      </c>
      <c r="B22" s="22" t="n">
        <v>450</v>
      </c>
      <c r="C22" s="19" t="s">
        <v>62</v>
      </c>
    </row>
    <row r="23" customFormat="false" ht="15" hidden="false" customHeight="true" outlineLevel="0" collapsed="false">
      <c r="A23" s="14" t="s">
        <v>63</v>
      </c>
      <c r="B23" s="23" t="n">
        <v>0.008</v>
      </c>
      <c r="C23" s="19" t="s">
        <v>64</v>
      </c>
    </row>
    <row r="24" customFormat="false" ht="15" hidden="false" customHeight="true" outlineLevel="0" collapsed="false">
      <c r="A24" s="14" t="s">
        <v>65</v>
      </c>
      <c r="B24" s="23" t="n">
        <v>0.15</v>
      </c>
      <c r="C24" s="19" t="s">
        <v>66</v>
      </c>
    </row>
    <row r="25" customFormat="false" ht="15" hidden="false" customHeight="true" outlineLevel="0" collapsed="false">
      <c r="A25" s="14" t="s">
        <v>67</v>
      </c>
      <c r="B25" s="23" t="n">
        <v>0.025</v>
      </c>
      <c r="C25" s="19" t="s">
        <v>68</v>
      </c>
    </row>
    <row r="27" customFormat="false" ht="15" hidden="false" customHeight="true" outlineLevel="0" collapsed="false">
      <c r="A27" s="17" t="s">
        <v>69</v>
      </c>
      <c r="B27" s="17"/>
      <c r="C27" s="17"/>
    </row>
    <row r="28" customFormat="false" ht="15" hidden="false" customHeight="true" outlineLevel="0" collapsed="false">
      <c r="A28" s="14" t="s">
        <v>70</v>
      </c>
      <c r="B28" s="23" t="n">
        <v>0.55</v>
      </c>
      <c r="C28" s="19" t="s">
        <v>71</v>
      </c>
    </row>
    <row r="29" customFormat="false" ht="15" hidden="false" customHeight="true" outlineLevel="0" collapsed="false">
      <c r="A29" s="14" t="s">
        <v>72</v>
      </c>
      <c r="B29" s="24" t="n">
        <v>850</v>
      </c>
      <c r="C29" s="19" t="s">
        <v>73</v>
      </c>
    </row>
    <row r="30" customFormat="false" ht="15" hidden="false" customHeight="true" outlineLevel="0" collapsed="false">
      <c r="A30" s="14" t="s">
        <v>74</v>
      </c>
      <c r="B30" s="23" t="n">
        <v>0.0115</v>
      </c>
      <c r="C30" s="19" t="s">
        <v>75</v>
      </c>
    </row>
    <row r="31" customFormat="false" ht="15" hidden="false" customHeight="true" outlineLevel="0" collapsed="false">
      <c r="A31" s="14" t="s">
        <v>76</v>
      </c>
      <c r="B31" s="23" t="n">
        <v>0.25</v>
      </c>
      <c r="C31" s="19" t="s">
        <v>77</v>
      </c>
    </row>
    <row r="32" customFormat="false" ht="15" hidden="false" customHeight="true" outlineLevel="0" collapsed="false">
      <c r="A32" s="14" t="s">
        <v>78</v>
      </c>
      <c r="B32" s="23" t="n">
        <v>0.0165</v>
      </c>
      <c r="C32" s="19" t="s">
        <v>79</v>
      </c>
    </row>
    <row r="33" customFormat="false" ht="15" hidden="false" customHeight="true" outlineLevel="0" collapsed="false">
      <c r="A33" s="14" t="s">
        <v>80</v>
      </c>
      <c r="B33" s="21" t="n">
        <v>1.2</v>
      </c>
      <c r="C33" s="19" t="s">
        <v>81</v>
      </c>
    </row>
    <row r="34" customFormat="false" ht="15" hidden="false" customHeight="true" outlineLevel="0" collapsed="false">
      <c r="A34" s="14" t="s">
        <v>82</v>
      </c>
      <c r="B34" s="24" t="n">
        <v>2.5</v>
      </c>
      <c r="C34" s="19" t="s">
        <v>83</v>
      </c>
    </row>
    <row r="36" customFormat="false" ht="15" hidden="false" customHeight="true" outlineLevel="0" collapsed="false">
      <c r="A36" s="17" t="s">
        <v>84</v>
      </c>
      <c r="B36" s="17"/>
      <c r="C36" s="17"/>
    </row>
    <row r="37" customFormat="false" ht="15" hidden="false" customHeight="true" outlineLevel="0" collapsed="false">
      <c r="A37" s="14" t="s">
        <v>85</v>
      </c>
      <c r="B37" s="20" t="n">
        <v>0.18</v>
      </c>
      <c r="C37" s="19" t="s">
        <v>86</v>
      </c>
    </row>
    <row r="38" customFormat="false" ht="15" hidden="false" customHeight="true" outlineLevel="0" collapsed="false">
      <c r="A38" s="14" t="s">
        <v>87</v>
      </c>
      <c r="B38" s="22" t="n">
        <v>3500</v>
      </c>
      <c r="C38" s="19" t="s">
        <v>88</v>
      </c>
    </row>
    <row r="39" customFormat="false" ht="15" hidden="false" customHeight="true" outlineLevel="0" collapsed="false">
      <c r="A39" s="14" t="s">
        <v>89</v>
      </c>
      <c r="B39" s="20" t="n">
        <v>0.189</v>
      </c>
      <c r="C39" s="19" t="s">
        <v>90</v>
      </c>
    </row>
    <row r="40" customFormat="false" ht="15" hidden="false" customHeight="true" outlineLevel="0" collapsed="false">
      <c r="A40" s="14" t="s">
        <v>91</v>
      </c>
      <c r="B40" s="20" t="n">
        <v>0.025</v>
      </c>
      <c r="C40" s="19" t="s">
        <v>92</v>
      </c>
    </row>
    <row r="41" customFormat="false" ht="15" hidden="false" customHeight="true" outlineLevel="0" collapsed="false">
      <c r="C41" s="19"/>
    </row>
    <row r="42" customFormat="false" ht="15" hidden="false" customHeight="true" outlineLevel="0" collapsed="false">
      <c r="A42" s="14" t="s">
        <v>93</v>
      </c>
      <c r="B42" s="20" t="n">
        <v>0.08</v>
      </c>
      <c r="C42" s="19" t="s">
        <v>94</v>
      </c>
    </row>
    <row r="43" customFormat="false" ht="15" hidden="false" customHeight="true" outlineLevel="0" collapsed="false">
      <c r="A43" s="14" t="s">
        <v>95</v>
      </c>
      <c r="B43" s="22" t="n">
        <v>2000</v>
      </c>
      <c r="C43" s="19" t="s">
        <v>96</v>
      </c>
    </row>
    <row r="44" customFormat="false" ht="15" hidden="false" customHeight="true" outlineLevel="0" collapsed="false">
      <c r="A44" s="14" t="s">
        <v>97</v>
      </c>
      <c r="B44" s="20" t="n">
        <v>0.45</v>
      </c>
      <c r="C44" s="19" t="s">
        <v>98</v>
      </c>
    </row>
    <row r="45" customFormat="false" ht="15" hidden="false" customHeight="true" outlineLevel="0" collapsed="false">
      <c r="A45" s="14" t="s">
        <v>99</v>
      </c>
      <c r="B45" s="20" t="n">
        <v>0.229</v>
      </c>
      <c r="C45" s="19" t="s">
        <v>100</v>
      </c>
    </row>
    <row r="46" customFormat="false" ht="15" hidden="false" customHeight="true" outlineLevel="0" collapsed="false">
      <c r="C46" s="19"/>
    </row>
    <row r="47" customFormat="false" ht="15" hidden="false" customHeight="true" outlineLevel="0" collapsed="false">
      <c r="A47" s="14" t="s">
        <v>101</v>
      </c>
      <c r="B47" s="20" t="n">
        <v>0.25</v>
      </c>
      <c r="C47" s="19" t="s">
        <v>102</v>
      </c>
    </row>
    <row r="48" customFormat="false" ht="15" hidden="false" customHeight="true" outlineLevel="0" collapsed="false">
      <c r="A48" s="14" t="s">
        <v>103</v>
      </c>
      <c r="B48" s="22" t="n">
        <v>1.5</v>
      </c>
      <c r="C48" s="19" t="s">
        <v>104</v>
      </c>
    </row>
    <row r="49" customFormat="false" ht="15" hidden="false" customHeight="true" outlineLevel="0" collapsed="false">
      <c r="A49" s="14" t="s">
        <v>105</v>
      </c>
      <c r="B49" s="22" t="n">
        <v>175</v>
      </c>
      <c r="C49" s="19" t="s">
        <v>106</v>
      </c>
    </row>
    <row r="50" customFormat="false" ht="15" hidden="false" customHeight="true" outlineLevel="0" collapsed="false">
      <c r="A50" s="14" t="s">
        <v>107</v>
      </c>
      <c r="B50" s="20" t="n">
        <v>0.045</v>
      </c>
      <c r="C50" s="19" t="s">
        <v>108</v>
      </c>
    </row>
    <row r="52" customFormat="false" ht="15" hidden="false" customHeight="true" outlineLevel="0" collapsed="false">
      <c r="A52" s="17" t="s">
        <v>109</v>
      </c>
      <c r="B52" s="17"/>
      <c r="C52" s="17"/>
    </row>
    <row r="53" customFormat="false" ht="15" hidden="false" customHeight="true" outlineLevel="0" collapsed="false">
      <c r="A53" s="14" t="s">
        <v>110</v>
      </c>
      <c r="B53" s="24" t="n">
        <v>9.99</v>
      </c>
      <c r="C53" s="19" t="s">
        <v>111</v>
      </c>
    </row>
    <row r="54" customFormat="false" ht="15" hidden="false" customHeight="true" outlineLevel="0" collapsed="false">
      <c r="A54" s="14" t="s">
        <v>112</v>
      </c>
      <c r="B54" s="23" t="n">
        <v>0.12</v>
      </c>
      <c r="C54" s="19" t="s">
        <v>113</v>
      </c>
    </row>
    <row r="55" customFormat="false" ht="15" hidden="false" customHeight="true" outlineLevel="0" collapsed="false">
      <c r="C55" s="19"/>
    </row>
    <row r="56" customFormat="false" ht="15" hidden="false" customHeight="true" outlineLevel="0" collapsed="false">
      <c r="A56" s="14" t="s">
        <v>114</v>
      </c>
      <c r="B56" s="23" t="n">
        <v>0.0225</v>
      </c>
      <c r="C56" s="19" t="s">
        <v>115</v>
      </c>
    </row>
    <row r="57" customFormat="false" ht="15" hidden="false" customHeight="true" outlineLevel="0" collapsed="false">
      <c r="A57" s="14" t="s">
        <v>116</v>
      </c>
      <c r="B57" s="24" t="n">
        <v>2800</v>
      </c>
      <c r="C57" s="19" t="s">
        <v>117</v>
      </c>
    </row>
    <row r="58" customFormat="false" ht="15" hidden="false" customHeight="true" outlineLevel="0" collapsed="false">
      <c r="A58" s="14" t="s">
        <v>118</v>
      </c>
      <c r="B58" s="23" t="n">
        <v>0.7</v>
      </c>
      <c r="C58" s="19" t="s">
        <v>119</v>
      </c>
    </row>
    <row r="59" customFormat="false" ht="15" hidden="false" customHeight="true" outlineLevel="0" collapsed="false">
      <c r="C59" s="19"/>
    </row>
    <row r="60" customFormat="false" ht="15" hidden="false" customHeight="true" outlineLevel="0" collapsed="false">
      <c r="A60" s="14" t="s">
        <v>120</v>
      </c>
      <c r="C60" s="19"/>
    </row>
    <row r="61" customFormat="false" ht="15" hidden="false" customHeight="true" outlineLevel="0" collapsed="false">
      <c r="A61" s="14" t="s">
        <v>121</v>
      </c>
      <c r="B61" s="23" t="n">
        <v>0.0085</v>
      </c>
      <c r="C61" s="19" t="s">
        <v>122</v>
      </c>
    </row>
    <row r="62" customFormat="false" ht="15" hidden="false" customHeight="true" outlineLevel="0" collapsed="false">
      <c r="A62" s="14" t="s">
        <v>123</v>
      </c>
      <c r="B62" s="23" t="n">
        <v>0.15</v>
      </c>
      <c r="C62" s="19" t="s">
        <v>124</v>
      </c>
    </row>
    <row r="63" customFormat="false" ht="15" hidden="false" customHeight="true" outlineLevel="0" collapsed="false">
      <c r="A63" s="14" t="s">
        <v>125</v>
      </c>
      <c r="B63" s="24" t="n">
        <v>8500</v>
      </c>
      <c r="C63" s="19" t="s">
        <v>126</v>
      </c>
    </row>
    <row r="64" customFormat="false" ht="15" hidden="false" customHeight="true" outlineLevel="0" collapsed="false">
      <c r="C64" s="19"/>
    </row>
    <row r="65" customFormat="false" ht="15" hidden="false" customHeight="true" outlineLevel="0" collapsed="false">
      <c r="A65" s="14" t="s">
        <v>127</v>
      </c>
      <c r="C65" s="19"/>
    </row>
    <row r="66" customFormat="false" ht="15" hidden="false" customHeight="true" outlineLevel="0" collapsed="false">
      <c r="A66" s="14" t="s">
        <v>128</v>
      </c>
      <c r="B66" s="21" t="n">
        <v>0.8</v>
      </c>
      <c r="C66" s="19" t="s">
        <v>129</v>
      </c>
    </row>
    <row r="67" customFormat="false" ht="15" hidden="false" customHeight="true" outlineLevel="0" collapsed="false">
      <c r="A67" s="14" t="s">
        <v>130</v>
      </c>
      <c r="B67" s="24" t="n">
        <v>45</v>
      </c>
      <c r="C67" s="19" t="s">
        <v>131</v>
      </c>
    </row>
    <row r="69" customFormat="false" ht="15" hidden="false" customHeight="true" outlineLevel="0" collapsed="false">
      <c r="A69" s="17" t="s">
        <v>132</v>
      </c>
      <c r="B69" s="17"/>
      <c r="C69" s="17"/>
    </row>
    <row r="70" customFormat="false" ht="15" hidden="false" customHeight="true" outlineLevel="0" collapsed="false">
      <c r="A70" s="14" t="s">
        <v>133</v>
      </c>
      <c r="B70" s="23" t="n">
        <v>0.018</v>
      </c>
      <c r="C70" s="19" t="s">
        <v>134</v>
      </c>
    </row>
    <row r="71" customFormat="false" ht="15" hidden="false" customHeight="true" outlineLevel="0" collapsed="false">
      <c r="A71" s="14" t="s">
        <v>135</v>
      </c>
      <c r="B71" s="23" t="n">
        <v>0.003</v>
      </c>
      <c r="C71" s="19" t="s">
        <v>136</v>
      </c>
    </row>
    <row r="72" customFormat="false" ht="15" hidden="false" customHeight="true" outlineLevel="0" collapsed="false">
      <c r="A72" s="14" t="s">
        <v>137</v>
      </c>
      <c r="B72" s="23" t="n">
        <v>0.004</v>
      </c>
      <c r="C72" s="19" t="s">
        <v>138</v>
      </c>
    </row>
    <row r="73" customFormat="false" ht="15" hidden="false" customHeight="true" outlineLevel="0" collapsed="false">
      <c r="A73" s="14" t="s">
        <v>139</v>
      </c>
      <c r="B73" s="23" t="n">
        <v>0.065</v>
      </c>
      <c r="C73" s="19" t="s">
        <v>140</v>
      </c>
    </row>
    <row r="74" customFormat="false" ht="15" hidden="false" customHeight="true" outlineLevel="0" collapsed="false">
      <c r="A74" s="14" t="s">
        <v>141</v>
      </c>
      <c r="B74" s="23" t="n">
        <v>0.035</v>
      </c>
      <c r="C74" s="19" t="s">
        <v>142</v>
      </c>
    </row>
    <row r="75" customFormat="false" ht="15" hidden="false" customHeight="true" outlineLevel="0" collapsed="false">
      <c r="A75" s="14" t="s">
        <v>143</v>
      </c>
      <c r="B75" s="24" t="n">
        <v>45</v>
      </c>
      <c r="C75" s="19" t="s">
        <v>144</v>
      </c>
    </row>
    <row r="76" customFormat="false" ht="15" hidden="false" customHeight="true" outlineLevel="0" collapsed="false">
      <c r="A76" s="14" t="s">
        <v>145</v>
      </c>
      <c r="B76" s="23" t="n">
        <v>0.15</v>
      </c>
      <c r="C76" s="19" t="s">
        <v>146</v>
      </c>
    </row>
    <row r="77" customFormat="false" ht="15" hidden="false" customHeight="true" outlineLevel="0" collapsed="false">
      <c r="A77" s="14" t="s">
        <v>147</v>
      </c>
      <c r="B77" s="23" t="n">
        <v>0.08</v>
      </c>
      <c r="C77" s="19" t="s">
        <v>148</v>
      </c>
    </row>
  </sheetData>
  <mergeCells count="6">
    <mergeCell ref="A4:C4"/>
    <mergeCell ref="A14:C14"/>
    <mergeCell ref="A27:C27"/>
    <mergeCell ref="A36:C36"/>
    <mergeCell ref="A52:C52"/>
    <mergeCell ref="A69:C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4" width="35"/>
    <col collapsed="false" customWidth="true" hidden="false" outlineLevel="0" max="2" min="2" style="14" width="18"/>
  </cols>
  <sheetData>
    <row r="1" customFormat="false" ht="15.75" hidden="false" customHeight="true" outlineLevel="0" collapsed="false">
      <c r="A1" s="25" t="s">
        <v>149</v>
      </c>
    </row>
    <row r="2" customFormat="false" ht="15" hidden="false" customHeight="true" outlineLevel="0" collapsed="false">
      <c r="A2" s="16" t="s">
        <v>150</v>
      </c>
    </row>
    <row r="4" customFormat="false" ht="15" hidden="false" customHeight="true" outlineLevel="0" collapsed="false">
      <c r="A4" s="26" t="s">
        <v>151</v>
      </c>
    </row>
    <row r="5" customFormat="false" ht="15" hidden="false" customHeight="true" outlineLevel="0" collapsed="false">
      <c r="A5" s="14" t="s">
        <v>152</v>
      </c>
      <c r="B5" s="27" t="n">
        <f aca="false">'Revenue Model'!B17*'Revenue Model'!B18*'Revenue Model'!B19*(1-'Revenue Model'!B20)</f>
        <v>0.000144375</v>
      </c>
    </row>
    <row r="6" customFormat="false" ht="15" hidden="false" customHeight="true" outlineLevel="0" collapsed="false">
      <c r="A6" s="14" t="s">
        <v>153</v>
      </c>
      <c r="B6" s="27" t="n">
        <f aca="false">'Revenue Model'!B17*'Revenue Model'!B18*('Revenue Model'!B19+'Revenue Model'!B21)*'Revenue Model'!B20</f>
        <v>0</v>
      </c>
    </row>
    <row r="7" customFormat="false" ht="15" hidden="false" customHeight="true" outlineLevel="0" collapsed="false">
      <c r="A7" s="14" t="s">
        <v>154</v>
      </c>
      <c r="B7" s="27" t="n">
        <f aca="false">'Revenue Model'!B23*'Revenue Model'!B24*'Revenue Model'!B25*(1-'Revenue Model'!B26)</f>
        <v>3E-005</v>
      </c>
    </row>
    <row r="8" customFormat="false" ht="15" hidden="false" customHeight="true" outlineLevel="0" collapsed="false">
      <c r="A8" s="14" t="s">
        <v>155</v>
      </c>
      <c r="B8" s="27" t="n">
        <f aca="false">'Revenue Model'!B23*'Revenue Model'!B24*'Revenue Model'!B27*'Revenue Model'!B26</f>
        <v>0</v>
      </c>
    </row>
    <row r="9" customFormat="false" ht="15" hidden="false" customHeight="true" outlineLevel="0" collapsed="false">
      <c r="A9" s="14" t="s">
        <v>156</v>
      </c>
      <c r="B9" s="27" t="n">
        <f aca="false">'Revenue Model'!B31*'Revenue Model'!B32*'Revenue Model'!B33*(1-'Revenue Model'!B34)</f>
        <v>-0.007425</v>
      </c>
    </row>
    <row r="10" customFormat="false" ht="15" hidden="false" customHeight="true" outlineLevel="0" collapsed="false">
      <c r="A10" s="14" t="s">
        <v>157</v>
      </c>
      <c r="B10" s="27" t="n">
        <f aca="false">'Revenue Model'!B31*'Revenue Model'!B32*'Revenue Model'!B35*'Revenue Model'!B34</f>
        <v>0</v>
      </c>
    </row>
    <row r="11" customFormat="false" ht="15" hidden="false" customHeight="true" outlineLevel="0" collapsed="false">
      <c r="A11" s="14" t="s">
        <v>158</v>
      </c>
      <c r="B11" s="27" t="n">
        <f aca="false">'Revenue Model'!B31*'Revenue Model'!B36*'Revenue Model'!B37</f>
        <v>0</v>
      </c>
    </row>
    <row r="12" customFormat="false" ht="15" hidden="false" customHeight="true" outlineLevel="0" collapsed="false">
      <c r="A12" s="14" t="s">
        <v>159</v>
      </c>
      <c r="B12" s="27" t="n">
        <f aca="false">'Revenue Model'!B41*'Revenue Model'!B42*'Revenue Model'!B43/12</f>
        <v>0</v>
      </c>
    </row>
    <row r="13" customFormat="false" ht="15" hidden="false" customHeight="true" outlineLevel="0" collapsed="false">
      <c r="A13" s="14" t="s">
        <v>160</v>
      </c>
      <c r="B13" s="27" t="n">
        <f aca="false">'Revenue Model'!B41*'Revenue Model'!B42*'Revenue Model'!B44/12</f>
        <v>0</v>
      </c>
    </row>
    <row r="14" customFormat="false" ht="15" hidden="false" customHeight="true" outlineLevel="0" collapsed="false">
      <c r="A14" s="14" t="s">
        <v>161</v>
      </c>
      <c r="B14" s="27" t="n">
        <f aca="false">'Revenue Model'!B46*'Revenue Model'!B47*'Revenue Model'!B48*'Revenue Model'!B49/12</f>
        <v>0</v>
      </c>
    </row>
    <row r="15" customFormat="false" ht="15" hidden="false" customHeight="true" outlineLevel="0" collapsed="false">
      <c r="A15" s="14" t="s">
        <v>162</v>
      </c>
      <c r="B15" s="27" t="n">
        <f aca="false">'Revenue Model'!B51*'Revenue Model'!B52*'Revenue Model'!B53*'Revenue Model'!B54</f>
        <v>0</v>
      </c>
    </row>
    <row r="16" customFormat="false" ht="15" hidden="false" customHeight="true" outlineLevel="0" collapsed="false">
      <c r="A16" s="14" t="s">
        <v>163</v>
      </c>
      <c r="B16" s="27" t="n">
        <f aca="false">'Revenue Model'!B58*'Revenue Model'!B59</f>
        <v>0</v>
      </c>
    </row>
    <row r="17" customFormat="false" ht="15" hidden="false" customHeight="true" outlineLevel="0" collapsed="false">
      <c r="A17" s="14" t="s">
        <v>164</v>
      </c>
      <c r="B17" s="27" t="n">
        <f aca="false">'Revenue Model'!B61*'Revenue Model'!B62*'Revenue Model'!B63/12</f>
        <v>0.903125</v>
      </c>
    </row>
    <row r="18" customFormat="false" ht="15" hidden="false" customHeight="true" outlineLevel="0" collapsed="false">
      <c r="A18" s="14" t="s">
        <v>165</v>
      </c>
      <c r="B18" s="27" t="n">
        <f aca="false">'Revenue Model'!B66*'Revenue Model'!B67*'Revenue Model'!B68/12</f>
        <v>0</v>
      </c>
    </row>
    <row r="19" customFormat="false" ht="15" hidden="false" customHeight="true" outlineLevel="0" collapsed="false">
      <c r="A19" s="14" t="s">
        <v>166</v>
      </c>
      <c r="B19" s="27" t="n">
        <f aca="false">'Revenue Model'!B71*'Revenue Model'!B72/12</f>
        <v>1E-006</v>
      </c>
    </row>
    <row r="20" customFormat="false" ht="15" hidden="false" customHeight="true" outlineLevel="0" collapsed="false">
      <c r="A20" s="14" t="s">
        <v>167</v>
      </c>
      <c r="B20" s="28" t="n">
        <f aca="false">SUM(B5:B19)</f>
        <v>0.895875375</v>
      </c>
    </row>
    <row r="22" customFormat="false" ht="15" hidden="false" customHeight="true" outlineLevel="0" collapsed="false">
      <c r="A22" s="26" t="s">
        <v>168</v>
      </c>
    </row>
    <row r="23" customFormat="false" ht="15" hidden="false" customHeight="true" outlineLevel="0" collapsed="false">
      <c r="A23" s="14" t="s">
        <v>169</v>
      </c>
      <c r="B23" s="27" t="n">
        <f aca="false">(B5+B6)/('Revenue Model'!B19)*('Revenue Model'!B75)</f>
        <v>0.433125</v>
      </c>
    </row>
    <row r="24" customFormat="false" ht="15" hidden="false" customHeight="true" outlineLevel="0" collapsed="false">
      <c r="A24" s="14" t="s">
        <v>170</v>
      </c>
      <c r="B24" s="27" t="n">
        <f aca="false">(B7+B8)/('Revenue Model'!B25)*('Revenue Model'!B76)</f>
        <v>0.00018</v>
      </c>
    </row>
    <row r="25" customFormat="false" ht="15" hidden="false" customHeight="true" outlineLevel="0" collapsed="false">
      <c r="A25" s="14" t="s">
        <v>171</v>
      </c>
      <c r="B25" s="27" t="n">
        <f aca="false">(B9+B10)/('Revenue Model'!B33)*('Revenue Model'!B77)</f>
        <v>-0.000495</v>
      </c>
    </row>
    <row r="26" customFormat="false" ht="15" hidden="false" customHeight="true" outlineLevel="0" collapsed="false">
      <c r="A26" s="14" t="s">
        <v>172</v>
      </c>
      <c r="B26" s="27" t="n">
        <f aca="false">'Revenue Model'!B41*'Revenue Model'!B42*'Revenue Model'!B78/12</f>
        <v>0</v>
      </c>
    </row>
    <row r="27" customFormat="false" ht="15" hidden="false" customHeight="true" outlineLevel="0" collapsed="false">
      <c r="A27" s="14" t="s">
        <v>173</v>
      </c>
      <c r="B27" s="27" t="n">
        <f aca="false">'Revenue Model'!B41*'Revenue Model'!B42*'Revenue Model'!B79/12</f>
        <v>0</v>
      </c>
    </row>
    <row r="28" customFormat="false" ht="15" hidden="false" customHeight="true" outlineLevel="0" collapsed="false">
      <c r="A28" s="14" t="s">
        <v>174</v>
      </c>
      <c r="B28" s="27" t="n">
        <f aca="false">B20*'Revenue Model'!B81</f>
        <v>0</v>
      </c>
    </row>
    <row r="29" customFormat="false" ht="15" hidden="false" customHeight="true" outlineLevel="0" collapsed="false">
      <c r="A29" s="14" t="s">
        <v>175</v>
      </c>
      <c r="B29" s="27" t="n">
        <f aca="false">B20*'Revenue Model'!B82</f>
        <v>0</v>
      </c>
    </row>
    <row r="30" customFormat="false" ht="15" hidden="false" customHeight="true" outlineLevel="0" collapsed="false">
      <c r="A30" s="14" t="s">
        <v>176</v>
      </c>
      <c r="B30" s="28" t="n">
        <f aca="false">SUM(B23:B29)</f>
        <v>0.43281</v>
      </c>
    </row>
    <row r="32" customFormat="false" ht="15" hidden="false" customHeight="true" outlineLevel="0" collapsed="false">
      <c r="A32" s="14" t="s">
        <v>177</v>
      </c>
      <c r="B32" s="29" t="n">
        <f aca="false">B20-B30</f>
        <v>0.463065375</v>
      </c>
    </row>
    <row r="33" customFormat="false" ht="15" hidden="false" customHeight="true" outlineLevel="0" collapsed="false">
      <c r="A33" s="14" t="s">
        <v>21</v>
      </c>
      <c r="B33" s="30" t="n">
        <f aca="false">IF(B20=0,0,B32/B20)</f>
        <v>0.516885928469683</v>
      </c>
    </row>
    <row r="35" customFormat="false" ht="15" hidden="false" customHeight="true" outlineLevel="0" collapsed="false">
      <c r="A35" s="26" t="s">
        <v>178</v>
      </c>
    </row>
    <row r="36" customFormat="false" ht="15" hidden="false" customHeight="true" outlineLevel="0" collapsed="false">
      <c r="A36" s="14" t="s">
        <v>179</v>
      </c>
      <c r="B36" s="31" t="n">
        <f aca="false">B20*12</f>
        <v>10.7505045</v>
      </c>
    </row>
    <row r="37" customFormat="false" ht="15" hidden="false" customHeight="true" outlineLevel="0" collapsed="false">
      <c r="A37" s="14" t="s">
        <v>180</v>
      </c>
      <c r="B37" s="32" t="n">
        <f aca="false">'Revenue Model'!B80</f>
        <v>0</v>
      </c>
    </row>
    <row r="38" customFormat="false" ht="15" hidden="false" customHeight="true" outlineLevel="0" collapsed="false">
      <c r="A38" s="14" t="s">
        <v>181</v>
      </c>
      <c r="B38" s="33" t="n">
        <f aca="false">IF(B32=0,0,B37/B32)</f>
        <v>0</v>
      </c>
    </row>
    <row r="39" customFormat="false" ht="15" hidden="false" customHeight="true" outlineLevel="0" collapsed="false">
      <c r="A39" s="14" t="s">
        <v>182</v>
      </c>
      <c r="B39" s="34" t="n">
        <f aca="false">IF(B37=0,0,(B32*36)/B37)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6"/>
  </cols>
  <sheetData>
    <row r="1" customFormat="false" ht="16.15" hidden="false" customHeight="false" outlineLevel="0" collapsed="false">
      <c r="A1" s="35" t="s">
        <v>183</v>
      </c>
      <c r="B1" s="35"/>
      <c r="C1" s="35"/>
      <c r="D1" s="35"/>
      <c r="E1" s="35"/>
      <c r="F1" s="35"/>
    </row>
    <row r="2" customFormat="false" ht="15" hidden="false" customHeight="false" outlineLevel="0" collapsed="false">
      <c r="A2" s="36" t="s">
        <v>184</v>
      </c>
      <c r="B2" s="36"/>
      <c r="C2" s="36"/>
      <c r="D2" s="36"/>
      <c r="E2" s="36"/>
      <c r="F2" s="36"/>
    </row>
    <row r="4" customFormat="false" ht="15" hidden="false" customHeight="false" outlineLevel="0" collapsed="false">
      <c r="A4" s="37" t="s">
        <v>185</v>
      </c>
      <c r="B4" s="38" t="s">
        <v>186</v>
      </c>
      <c r="C4" s="38" t="s">
        <v>187</v>
      </c>
      <c r="D4" s="38" t="s">
        <v>188</v>
      </c>
      <c r="E4" s="38" t="s">
        <v>189</v>
      </c>
      <c r="F4" s="38" t="s">
        <v>190</v>
      </c>
    </row>
    <row r="5" customFormat="false" ht="15" hidden="false" customHeight="false" outlineLevel="0" collapsed="false">
      <c r="A5" s="3" t="s">
        <v>191</v>
      </c>
      <c r="B5" s="3"/>
      <c r="C5" s="3"/>
      <c r="D5" s="3"/>
      <c r="E5" s="3"/>
      <c r="F5" s="3"/>
    </row>
    <row r="6" customFormat="false" ht="15" hidden="false" customHeight="false" outlineLevel="0" collapsed="false">
      <c r="A6" s="0" t="s">
        <v>192</v>
      </c>
      <c r="B6" s="39" t="n">
        <v>5000000</v>
      </c>
      <c r="C6" s="39" t="n">
        <v>8000000</v>
      </c>
      <c r="D6" s="39" t="n">
        <v>12000000</v>
      </c>
      <c r="E6" s="39" t="n">
        <v>18000000</v>
      </c>
      <c r="F6" s="39" t="n">
        <v>25000000</v>
      </c>
    </row>
    <row r="7" customFormat="false" ht="15" hidden="false" customHeight="false" outlineLevel="0" collapsed="false">
      <c r="A7" s="0" t="s">
        <v>193</v>
      </c>
      <c r="B7" s="39" t="n">
        <v>1500000</v>
      </c>
      <c r="C7" s="39" t="n">
        <v>2000000</v>
      </c>
      <c r="D7" s="39" t="n">
        <v>3000000</v>
      </c>
      <c r="E7" s="39" t="n">
        <v>5000000</v>
      </c>
      <c r="F7" s="39" t="n">
        <v>8000000</v>
      </c>
    </row>
    <row r="9" customFormat="false" ht="15" hidden="false" customHeight="false" outlineLevel="0" collapsed="false">
      <c r="A9" s="3" t="s">
        <v>194</v>
      </c>
      <c r="B9" s="3"/>
      <c r="C9" s="3"/>
      <c r="D9" s="3"/>
      <c r="E9" s="3"/>
      <c r="F9" s="3"/>
    </row>
    <row r="10" customFormat="false" ht="15" hidden="false" customHeight="false" outlineLevel="0" collapsed="false">
      <c r="A10" s="0" t="s">
        <v>27</v>
      </c>
      <c r="B10" s="40" t="n">
        <f aca="false">B6+B7</f>
        <v>6500000</v>
      </c>
      <c r="C10" s="40" t="n">
        <f aca="false">C6+C7</f>
        <v>10000000</v>
      </c>
      <c r="D10" s="40" t="n">
        <f aca="false">D6+D7</f>
        <v>15000000</v>
      </c>
      <c r="E10" s="40" t="n">
        <f aca="false">E6+E7</f>
        <v>23000000</v>
      </c>
      <c r="F10" s="40" t="n">
        <f aca="false">F6+F7</f>
        <v>33000000</v>
      </c>
    </row>
    <row r="11" customFormat="false" ht="15" hidden="false" customHeight="false" outlineLevel="0" collapsed="false">
      <c r="A11" s="0" t="s">
        <v>195</v>
      </c>
      <c r="B11" s="8" t="n">
        <f aca="false">B7/B10</f>
        <v>0.230769230769231</v>
      </c>
      <c r="C11" s="8" t="n">
        <f aca="false">C7/C10</f>
        <v>0.2</v>
      </c>
      <c r="D11" s="8" t="n">
        <f aca="false">D7/D10</f>
        <v>0.2</v>
      </c>
      <c r="E11" s="8" t="n">
        <f aca="false">E7/E10</f>
        <v>0.217391304347826</v>
      </c>
      <c r="F11" s="8" t="n">
        <f aca="false">F7/F10</f>
        <v>0.242424242424242</v>
      </c>
    </row>
    <row r="12" customFormat="false" ht="15" hidden="false" customHeight="false" outlineLevel="0" collapsed="false">
      <c r="A12" s="0" t="s">
        <v>196</v>
      </c>
      <c r="B12" s="41" t="n">
        <f aca="false">B11</f>
        <v>0.230769230769231</v>
      </c>
      <c r="C12" s="41" t="n">
        <f aca="false">C11</f>
        <v>0.2</v>
      </c>
      <c r="D12" s="41" t="n">
        <f aca="false">D11</f>
        <v>0.2</v>
      </c>
      <c r="E12" s="41" t="n">
        <f aca="false">E11</f>
        <v>0.217391304347826</v>
      </c>
      <c r="F12" s="41" t="n">
        <f aca="false">F11</f>
        <v>0.242424242424242</v>
      </c>
    </row>
    <row r="13" customFormat="false" ht="15" hidden="false" customHeight="false" outlineLevel="0" collapsed="false">
      <c r="A13" s="0" t="s">
        <v>197</v>
      </c>
      <c r="B13" s="42" t="n">
        <f aca="false">B7/B11</f>
        <v>6500000</v>
      </c>
      <c r="C13" s="42" t="n">
        <f aca="false">C7/C11</f>
        <v>10000000</v>
      </c>
      <c r="D13" s="42" t="n">
        <f aca="false">D7/D11</f>
        <v>15000000</v>
      </c>
      <c r="E13" s="42" t="n">
        <f aca="false">E7/E11</f>
        <v>23000000</v>
      </c>
      <c r="F13" s="42" t="n">
        <f aca="false">F7/F11</f>
        <v>33000000</v>
      </c>
    </row>
    <row r="15" customFormat="false" ht="15" hidden="false" customHeight="false" outlineLevel="0" collapsed="false">
      <c r="A15" s="3" t="s">
        <v>198</v>
      </c>
      <c r="B15" s="3"/>
      <c r="C15" s="3"/>
      <c r="D15" s="3"/>
      <c r="E15" s="3"/>
      <c r="F15" s="3"/>
    </row>
    <row r="16" customFormat="false" ht="15" hidden="false" customHeight="false" outlineLevel="0" collapsed="false">
      <c r="A16" s="0" t="s">
        <v>199</v>
      </c>
      <c r="B16" s="43" t="n">
        <v>1.5</v>
      </c>
      <c r="C16" s="43" t="n">
        <v>2</v>
      </c>
      <c r="D16" s="43" t="n">
        <v>2.5</v>
      </c>
      <c r="E16" s="43" t="n">
        <v>3</v>
      </c>
      <c r="F16" s="43" t="n">
        <v>4</v>
      </c>
    </row>
    <row r="17" customFormat="false" ht="15" hidden="false" customHeight="false" outlineLevel="0" collapsed="false">
      <c r="A17" s="0" t="s">
        <v>200</v>
      </c>
      <c r="B17" s="43" t="n">
        <v>0.8</v>
      </c>
      <c r="C17" s="43" t="n">
        <v>1</v>
      </c>
      <c r="D17" s="43" t="n">
        <v>1.2</v>
      </c>
      <c r="E17" s="43" t="n">
        <v>1.5</v>
      </c>
      <c r="F17" s="43" t="n">
        <v>2</v>
      </c>
    </row>
    <row r="19" customFormat="false" ht="15" hidden="false" customHeight="false" outlineLevel="0" collapsed="false">
      <c r="A19" s="3" t="s">
        <v>201</v>
      </c>
      <c r="B19" s="3"/>
      <c r="C19" s="3"/>
      <c r="D19" s="3"/>
      <c r="E19" s="3"/>
      <c r="F19" s="3"/>
    </row>
    <row r="20" customFormat="false" ht="15" hidden="false" customHeight="false" outlineLevel="0" collapsed="false">
      <c r="A20" s="0" t="s">
        <v>202</v>
      </c>
      <c r="B20" s="44" t="n">
        <f aca="false">'Revenue Model'!B5*(1+B16)</f>
        <v>25000</v>
      </c>
      <c r="C20" s="44" t="n">
        <f aca="false">'Revenue Model'!B5*(1+C16)</f>
        <v>30000</v>
      </c>
      <c r="D20" s="44" t="n">
        <f aca="false">'Revenue Model'!B5*(1+D16)</f>
        <v>35000</v>
      </c>
      <c r="E20" s="44" t="n">
        <f aca="false">'Revenue Model'!B5*(1+E16)</f>
        <v>40000</v>
      </c>
      <c r="F20" s="44" t="n">
        <f aca="false">'Revenue Model'!B5*(1+F16)</f>
        <v>50000</v>
      </c>
    </row>
    <row r="21" customFormat="false" ht="15" hidden="false" customHeight="false" outlineLevel="0" collapsed="false">
      <c r="A21" s="0" t="s">
        <v>14</v>
      </c>
      <c r="B21" s="44" t="n">
        <f aca="false">B20*'Revenue Model'!$B$11</f>
        <v>16250</v>
      </c>
      <c r="C21" s="44" t="n">
        <f aca="false">C20*'Revenue Model'!$B$11</f>
        <v>19500</v>
      </c>
      <c r="D21" s="44" t="n">
        <f aca="false">D20*'Revenue Model'!$B$11</f>
        <v>22750</v>
      </c>
      <c r="E21" s="44" t="n">
        <f aca="false">E20*'Revenue Model'!$B$11</f>
        <v>26000</v>
      </c>
      <c r="F21" s="44" t="n">
        <f aca="false">F20*'Revenue Model'!$B$11</f>
        <v>32500</v>
      </c>
    </row>
    <row r="22" customFormat="false" ht="15" hidden="false" customHeight="false" outlineLevel="0" collapsed="false">
      <c r="A22" s="0" t="s">
        <v>203</v>
      </c>
      <c r="B22" s="45" t="n">
        <f aca="false">'Unit Economics'!B20*B21*12*B17</f>
        <v>139756.5585</v>
      </c>
      <c r="C22" s="45" t="n">
        <f aca="false">'Unit Economics'!B20*C21*12*C17</f>
        <v>209634.83775</v>
      </c>
      <c r="D22" s="45" t="n">
        <f aca="false">'Unit Economics'!B20*D21*12*D17</f>
        <v>293488.77285</v>
      </c>
      <c r="E22" s="45" t="n">
        <f aca="false">'Unit Economics'!B20*E21*12*E17</f>
        <v>419269.6755</v>
      </c>
      <c r="F22" s="45" t="n">
        <f aca="false">'Unit Economics'!B20*F21*12*F17</f>
        <v>698782.7925</v>
      </c>
    </row>
    <row r="23" customFormat="false" ht="15" hidden="false" customHeight="false" outlineLevel="0" collapsed="false">
      <c r="A23" s="0" t="s">
        <v>204</v>
      </c>
      <c r="B23" s="46" t="n">
        <f aca="false">B10/B22</f>
        <v>46.509445207897</v>
      </c>
      <c r="C23" s="46" t="n">
        <f aca="false">C10/C22</f>
        <v>47.7019950850226</v>
      </c>
      <c r="D23" s="46" t="n">
        <f aca="false">D10/D22</f>
        <v>51.1092804482384</v>
      </c>
      <c r="E23" s="46" t="n">
        <f aca="false">E10/E22</f>
        <v>54.8572943477759</v>
      </c>
      <c r="F23" s="46" t="n">
        <f aca="false">F10/F22</f>
        <v>47.2249751341723</v>
      </c>
    </row>
    <row r="25" customFormat="false" ht="15" hidden="false" customHeight="false" outlineLevel="0" collapsed="false">
      <c r="A25" s="3" t="s">
        <v>205</v>
      </c>
      <c r="B25" s="3"/>
      <c r="C25" s="3"/>
      <c r="D25" s="3"/>
      <c r="E25" s="3"/>
      <c r="F25" s="3"/>
    </row>
    <row r="26" customFormat="false" ht="15" hidden="false" customHeight="false" outlineLevel="0" collapsed="false">
      <c r="A26" s="0" t="s">
        <v>206</v>
      </c>
      <c r="B26" s="47" t="s">
        <v>207</v>
      </c>
      <c r="C26" s="47" t="s">
        <v>208</v>
      </c>
      <c r="D26" s="47" t="s">
        <v>209</v>
      </c>
      <c r="E26" s="47" t="s">
        <v>210</v>
      </c>
      <c r="F26" s="47" t="s">
        <v>211</v>
      </c>
    </row>
  </sheetData>
  <mergeCells count="7">
    <mergeCell ref="A1:F1"/>
    <mergeCell ref="A2:F2"/>
    <mergeCell ref="A5:F5"/>
    <mergeCell ref="A9:F9"/>
    <mergeCell ref="A15:F15"/>
    <mergeCell ref="A19:F19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4" width="35"/>
    <col collapsed="false" customWidth="true" hidden="false" outlineLevel="0" max="2" min="2" style="14" width="20"/>
  </cols>
  <sheetData>
    <row r="1" customFormat="false" ht="17.25" hidden="false" customHeight="true" outlineLevel="0" collapsed="false">
      <c r="A1" s="15" t="s">
        <v>212</v>
      </c>
    </row>
    <row r="3" customFormat="false" ht="15" hidden="false" customHeight="true" outlineLevel="0" collapsed="false">
      <c r="A3" s="26" t="s">
        <v>213</v>
      </c>
    </row>
    <row r="4" customFormat="false" ht="15" hidden="false" customHeight="true" outlineLevel="0" collapsed="false">
      <c r="A4" s="14" t="s">
        <v>214</v>
      </c>
      <c r="B4" s="18" t="n">
        <v>10000000</v>
      </c>
    </row>
    <row r="6" customFormat="false" ht="15" hidden="false" customHeight="true" outlineLevel="0" collapsed="false">
      <c r="A6" s="26" t="s">
        <v>215</v>
      </c>
    </row>
    <row r="7" customFormat="false" ht="15" hidden="false" customHeight="true" outlineLevel="0" collapsed="false">
      <c r="A7" s="14" t="s">
        <v>216</v>
      </c>
      <c r="B7" s="22" t="n">
        <v>8000000</v>
      </c>
    </row>
    <row r="8" customFormat="false" ht="15" hidden="false" customHeight="true" outlineLevel="0" collapsed="false">
      <c r="A8" s="14" t="s">
        <v>217</v>
      </c>
      <c r="B8" s="22" t="n">
        <v>2000000</v>
      </c>
    </row>
    <row r="10" customFormat="false" ht="15" hidden="false" customHeight="true" outlineLevel="0" collapsed="false">
      <c r="A10" s="26" t="s">
        <v>218</v>
      </c>
    </row>
    <row r="11" customFormat="false" ht="15" hidden="false" customHeight="true" outlineLevel="0" collapsed="false">
      <c r="A11" s="14" t="s">
        <v>27</v>
      </c>
      <c r="B11" s="48" t="n">
        <f aca="false">B7+B8</f>
        <v>10000000</v>
      </c>
    </row>
    <row r="12" customFormat="false" ht="15" hidden="false" customHeight="true" outlineLevel="0" collapsed="false">
      <c r="A12" s="14" t="s">
        <v>219</v>
      </c>
      <c r="B12" s="49" t="n">
        <f aca="false">B7/B4</f>
        <v>0.8</v>
      </c>
    </row>
    <row r="13" customFormat="false" ht="15" hidden="false" customHeight="true" outlineLevel="0" collapsed="false">
      <c r="A13" s="14" t="s">
        <v>220</v>
      </c>
      <c r="B13" s="50" t="n">
        <f aca="false">B8/B12</f>
        <v>2500000</v>
      </c>
    </row>
    <row r="14" customFormat="false" ht="15" hidden="false" customHeight="true" outlineLevel="0" collapsed="false">
      <c r="A14" s="14" t="s">
        <v>221</v>
      </c>
      <c r="B14" s="51" t="n">
        <f aca="false">B4+B13</f>
        <v>12500000</v>
      </c>
    </row>
    <row r="15" customFormat="false" ht="15" hidden="false" customHeight="true" outlineLevel="0" collapsed="false">
      <c r="A15" s="14" t="s">
        <v>29</v>
      </c>
      <c r="B15" s="52" t="n">
        <f aca="false">B13/B14</f>
        <v>0.2</v>
      </c>
    </row>
    <row r="16" customFormat="false" ht="15" hidden="false" customHeight="true" outlineLevel="0" collapsed="false">
      <c r="A16" s="14" t="s">
        <v>222</v>
      </c>
      <c r="B16" s="30" t="n">
        <f aca="false">B4/B14</f>
        <v>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4" width="35"/>
    <col collapsed="false" customWidth="true" hidden="false" outlineLevel="0" max="7" min="2" style="14" width="14"/>
  </cols>
  <sheetData>
    <row r="1" customFormat="false" ht="15.75" hidden="false" customHeight="true" outlineLevel="0" collapsed="false">
      <c r="A1" s="25" t="s">
        <v>223</v>
      </c>
    </row>
    <row r="2" customFormat="false" ht="15" hidden="false" customHeight="true" outlineLevel="0" collapsed="false">
      <c r="A2" s="53" t="s">
        <v>224</v>
      </c>
    </row>
    <row r="4" customFormat="false" ht="15" hidden="false" customHeight="true" outlineLevel="0" collapsed="false">
      <c r="B4" s="38" t="s">
        <v>225</v>
      </c>
      <c r="C4" s="38" t="s">
        <v>226</v>
      </c>
      <c r="D4" s="38" t="s">
        <v>227</v>
      </c>
      <c r="E4" s="38" t="s">
        <v>228</v>
      </c>
      <c r="F4" s="38" t="s">
        <v>229</v>
      </c>
      <c r="G4" s="38" t="s">
        <v>230</v>
      </c>
    </row>
    <row r="5" customFormat="false" ht="15" hidden="false" customHeight="true" outlineLevel="0" collapsed="false">
      <c r="A5" s="26" t="s">
        <v>231</v>
      </c>
    </row>
    <row r="6" customFormat="false" ht="15" hidden="false" customHeight="true" outlineLevel="0" collapsed="false">
      <c r="A6" s="14" t="s">
        <v>232</v>
      </c>
      <c r="B6" s="54" t="n">
        <f aca="false">'Revenue Model'!B5</f>
        <v>10000</v>
      </c>
      <c r="C6" s="14" t="n">
        <f aca="false">B6*(1+'Revenue Model'!B6)</f>
        <v>30000</v>
      </c>
      <c r="D6" s="14" t="n">
        <f aca="false">C6*(1+'Revenue Model'!B7)</f>
        <v>75000</v>
      </c>
      <c r="E6" s="14" t="n">
        <f aca="false">D6*(1+'Revenue Model'!B8)</f>
        <v>150000</v>
      </c>
      <c r="F6" s="14" t="n">
        <f aca="false">E6*(1+'Revenue Model'!B9)</f>
        <v>240000</v>
      </c>
      <c r="G6" s="14" t="n">
        <f aca="false">F6*(1+'Revenue Model'!B10)</f>
        <v>336000</v>
      </c>
    </row>
    <row r="7" customFormat="false" ht="15" hidden="false" customHeight="true" outlineLevel="0" collapsed="false">
      <c r="A7" s="14" t="s">
        <v>233</v>
      </c>
      <c r="B7" s="50" t="n">
        <f aca="false">B6*'Revenue Model'!$B$11</f>
        <v>6500</v>
      </c>
      <c r="C7" s="50" t="n">
        <f aca="false">C6*'Revenue Model'!$B$11</f>
        <v>19500</v>
      </c>
      <c r="D7" s="50" t="n">
        <f aca="false">D6*'Revenue Model'!$B$11</f>
        <v>48750</v>
      </c>
      <c r="E7" s="50" t="n">
        <f aca="false">E6*'Revenue Model'!$B$11</f>
        <v>97500</v>
      </c>
      <c r="F7" s="50" t="n">
        <f aca="false">F6*'Revenue Model'!$B$11</f>
        <v>156000</v>
      </c>
      <c r="G7" s="50" t="n">
        <f aca="false">G6*'Revenue Model'!$B$11</f>
        <v>218400</v>
      </c>
    </row>
    <row r="8" customFormat="false" ht="15" hidden="false" customHeight="true" outlineLevel="0" collapsed="false">
      <c r="A8" s="14" t="s">
        <v>234</v>
      </c>
      <c r="B8" s="50" t="n">
        <f aca="false">B7*'Revenue Model'!$B$12</f>
        <v>780</v>
      </c>
      <c r="C8" s="50" t="n">
        <f aca="false">C7*'Revenue Model'!$B$12</f>
        <v>2340</v>
      </c>
      <c r="D8" s="50" t="n">
        <f aca="false">D7*'Revenue Model'!$B$12</f>
        <v>5850</v>
      </c>
      <c r="E8" s="50" t="n">
        <f aca="false">E7*'Revenue Model'!$B$12</f>
        <v>11700</v>
      </c>
      <c r="F8" s="50" t="n">
        <f aca="false">F7*'Revenue Model'!$B$12</f>
        <v>18720</v>
      </c>
      <c r="G8" s="50" t="n">
        <f aca="false">G7*'Revenue Model'!$B$12</f>
        <v>26208</v>
      </c>
    </row>
    <row r="10" customFormat="false" ht="15" hidden="false" customHeight="true" outlineLevel="0" collapsed="false">
      <c r="A10" s="26" t="s">
        <v>235</v>
      </c>
    </row>
    <row r="11" customFormat="false" ht="15" hidden="false" customHeight="true" outlineLevel="0" collapsed="false">
      <c r="A11" s="14" t="s">
        <v>236</v>
      </c>
      <c r="B11" s="55" t="n">
        <f aca="false">('Unit Economics'!B5+'Unit Economics'!B6)*B7*12</f>
        <v>11.26125</v>
      </c>
      <c r="C11" s="55" t="n">
        <f aca="false">('Unit Economics'!B5+'Unit Economics'!B6)*C7*12</f>
        <v>33.78375</v>
      </c>
      <c r="D11" s="55" t="n">
        <f aca="false">('Unit Economics'!B5+'Unit Economics'!B6)*D7*12</f>
        <v>84.459375</v>
      </c>
      <c r="E11" s="55" t="n">
        <f aca="false">('Unit Economics'!B5+'Unit Economics'!B6)*E7*12</f>
        <v>168.91875</v>
      </c>
      <c r="F11" s="55" t="n">
        <f aca="false">('Unit Economics'!B5+'Unit Economics'!B6)*F7*12</f>
        <v>270.27</v>
      </c>
      <c r="G11" s="55" t="n">
        <f aca="false">('Unit Economics'!B5+'Unit Economics'!B6)*G7*12</f>
        <v>378.378</v>
      </c>
    </row>
    <row r="12" customFormat="false" ht="15" hidden="false" customHeight="true" outlineLevel="0" collapsed="false">
      <c r="A12" s="14" t="s">
        <v>237</v>
      </c>
      <c r="B12" s="55" t="n">
        <f aca="false">('Unit Economics'!B7+'Unit Economics'!B8)*B7*12</f>
        <v>2.34</v>
      </c>
      <c r="C12" s="55" t="n">
        <f aca="false">('Unit Economics'!B7+'Unit Economics'!B8)*C7*12</f>
        <v>7.02</v>
      </c>
      <c r="D12" s="55" t="n">
        <f aca="false">('Unit Economics'!B7+'Unit Economics'!B8)*D7*12</f>
        <v>17.55</v>
      </c>
      <c r="E12" s="55" t="n">
        <f aca="false">('Unit Economics'!B7+'Unit Economics'!B8)*E7*12</f>
        <v>35.1</v>
      </c>
      <c r="F12" s="55" t="n">
        <f aca="false">('Unit Economics'!B7+'Unit Economics'!B8)*F7*12</f>
        <v>56.16</v>
      </c>
      <c r="G12" s="55" t="n">
        <f aca="false">('Unit Economics'!B7+'Unit Economics'!B8)*G7*12</f>
        <v>78.624</v>
      </c>
    </row>
    <row r="13" customFormat="false" ht="15" hidden="false" customHeight="true" outlineLevel="0" collapsed="false">
      <c r="A13" s="14" t="s">
        <v>238</v>
      </c>
      <c r="B13" s="55" t="n">
        <f aca="false">('Unit Economics'!B9+'Unit Economics'!B10+'Unit Economics'!B11)*B7*12</f>
        <v>-579.15</v>
      </c>
      <c r="C13" s="55" t="n">
        <f aca="false">('Unit Economics'!B9+'Unit Economics'!B10+'Unit Economics'!B11)*C7*12</f>
        <v>-1737.45</v>
      </c>
      <c r="D13" s="55" t="n">
        <f aca="false">('Unit Economics'!B9+'Unit Economics'!B10+'Unit Economics'!B11)*D7*12</f>
        <v>-4343.625</v>
      </c>
      <c r="E13" s="55" t="n">
        <f aca="false">('Unit Economics'!B9+'Unit Economics'!B10+'Unit Economics'!B11)*E7*12</f>
        <v>-8687.25</v>
      </c>
      <c r="F13" s="55" t="n">
        <f aca="false">('Unit Economics'!B9+'Unit Economics'!B10+'Unit Economics'!B11)*F7*12</f>
        <v>-13899.6</v>
      </c>
      <c r="G13" s="55" t="n">
        <f aca="false">('Unit Economics'!B9+'Unit Economics'!B10+'Unit Economics'!B11)*G7*12</f>
        <v>-19459.44</v>
      </c>
    </row>
    <row r="14" customFormat="false" ht="15" hidden="false" customHeight="true" outlineLevel="0" collapsed="false">
      <c r="A14" s="14" t="s">
        <v>239</v>
      </c>
      <c r="B14" s="55" t="n">
        <f aca="false">('Unit Economics'!B12+'Unit Economics'!B13+'Unit Economics'!B14)*B7*12</f>
        <v>0</v>
      </c>
      <c r="C14" s="55" t="n">
        <f aca="false">('Unit Economics'!B12+'Unit Economics'!B13+'Unit Economics'!B14)*C7*12</f>
        <v>0</v>
      </c>
      <c r="D14" s="55" t="n">
        <f aca="false">('Unit Economics'!B12+'Unit Economics'!B13+'Unit Economics'!B14)*D7*12</f>
        <v>0</v>
      </c>
      <c r="E14" s="55" t="n">
        <f aca="false">('Unit Economics'!B12+'Unit Economics'!B13+'Unit Economics'!B14)*E7*12</f>
        <v>0</v>
      </c>
      <c r="F14" s="55" t="n">
        <f aca="false">('Unit Economics'!B12+'Unit Economics'!B13+'Unit Economics'!B14)*F7*12</f>
        <v>0</v>
      </c>
      <c r="G14" s="55" t="n">
        <f aca="false">('Unit Economics'!B12+'Unit Economics'!B13+'Unit Economics'!B14)*G7*12</f>
        <v>0</v>
      </c>
    </row>
    <row r="15" customFormat="false" ht="15" hidden="false" customHeight="true" outlineLevel="0" collapsed="false">
      <c r="A15" s="14" t="s">
        <v>162</v>
      </c>
      <c r="B15" s="55" t="n">
        <f aca="false">('Unit Economics'!B15)*B7*12</f>
        <v>0</v>
      </c>
      <c r="C15" s="55" t="n">
        <f aca="false">('Unit Economics'!B15)*C7*12</f>
        <v>0</v>
      </c>
      <c r="D15" s="55" t="n">
        <f aca="false">('Unit Economics'!B15)*D7*12</f>
        <v>0</v>
      </c>
      <c r="E15" s="55" t="n">
        <f aca="false">('Unit Economics'!B15)*E7*12</f>
        <v>0</v>
      </c>
      <c r="F15" s="55" t="n">
        <f aca="false">('Unit Economics'!B15)*F7*12</f>
        <v>0</v>
      </c>
      <c r="G15" s="55" t="n">
        <f aca="false">('Unit Economics'!B15)*G7*12</f>
        <v>0</v>
      </c>
    </row>
    <row r="16" customFormat="false" ht="15" hidden="false" customHeight="true" outlineLevel="0" collapsed="false">
      <c r="A16" s="14" t="s">
        <v>240</v>
      </c>
      <c r="B16" s="55" t="n">
        <f aca="false">('Unit Economics'!B16)*B7*12</f>
        <v>0</v>
      </c>
      <c r="C16" s="55" t="n">
        <f aca="false">('Unit Economics'!B16)*C7*12</f>
        <v>0</v>
      </c>
      <c r="D16" s="55" t="n">
        <f aca="false">('Unit Economics'!B16)*D7*12</f>
        <v>0</v>
      </c>
      <c r="E16" s="55" t="n">
        <f aca="false">('Unit Economics'!B16)*E7*12</f>
        <v>0</v>
      </c>
      <c r="F16" s="55" t="n">
        <f aca="false">('Unit Economics'!B16)*F7*12</f>
        <v>0</v>
      </c>
      <c r="G16" s="55" t="n">
        <f aca="false">('Unit Economics'!B16)*G7*12</f>
        <v>0</v>
      </c>
    </row>
    <row r="17" customFormat="false" ht="15" hidden="false" customHeight="true" outlineLevel="0" collapsed="false">
      <c r="A17" s="14" t="s">
        <v>241</v>
      </c>
      <c r="B17" s="55" t="n">
        <f aca="false">('Unit Economics'!B17)*B7*12</f>
        <v>70443.75</v>
      </c>
      <c r="C17" s="55" t="n">
        <f aca="false">('Unit Economics'!B17)*C7*12</f>
        <v>211331.25</v>
      </c>
      <c r="D17" s="55" t="n">
        <f aca="false">('Unit Economics'!B17)*D7*12</f>
        <v>528328.125</v>
      </c>
      <c r="E17" s="55" t="n">
        <f aca="false">('Unit Economics'!B17)*E7*12</f>
        <v>1056656.25</v>
      </c>
      <c r="F17" s="55" t="n">
        <f aca="false">('Unit Economics'!B17)*F7*12</f>
        <v>1690650</v>
      </c>
      <c r="G17" s="55" t="n">
        <f aca="false">('Unit Economics'!B17)*G7*12</f>
        <v>2366910</v>
      </c>
    </row>
    <row r="18" customFormat="false" ht="15" hidden="false" customHeight="true" outlineLevel="0" collapsed="false">
      <c r="A18" s="14" t="s">
        <v>242</v>
      </c>
      <c r="B18" s="55" t="n">
        <f aca="false">('Unit Economics'!B18)*B7*12</f>
        <v>0</v>
      </c>
      <c r="C18" s="55" t="n">
        <f aca="false">('Unit Economics'!B18)*C7*12</f>
        <v>0</v>
      </c>
      <c r="D18" s="55" t="n">
        <f aca="false">('Unit Economics'!B18)*D7*12</f>
        <v>0</v>
      </c>
      <c r="E18" s="55" t="n">
        <f aca="false">('Unit Economics'!B18)*E7*12</f>
        <v>0</v>
      </c>
      <c r="F18" s="55" t="n">
        <f aca="false">('Unit Economics'!B18)*F7*12</f>
        <v>0</v>
      </c>
      <c r="G18" s="55" t="n">
        <f aca="false">('Unit Economics'!B18)*G7*12</f>
        <v>0</v>
      </c>
    </row>
    <row r="19" customFormat="false" ht="15" hidden="false" customHeight="true" outlineLevel="0" collapsed="false">
      <c r="A19" s="14" t="s">
        <v>166</v>
      </c>
      <c r="B19" s="55" t="n">
        <f aca="false">('Unit Economics'!B19)*B7*12</f>
        <v>0.078</v>
      </c>
      <c r="C19" s="55" t="n">
        <f aca="false">('Unit Economics'!B19)*C7*12</f>
        <v>0.234</v>
      </c>
      <c r="D19" s="55" t="n">
        <f aca="false">('Unit Economics'!B19)*D7*12</f>
        <v>0.585</v>
      </c>
      <c r="E19" s="55" t="n">
        <f aca="false">('Unit Economics'!B19)*E7*12</f>
        <v>1.17</v>
      </c>
      <c r="F19" s="55" t="n">
        <f aca="false">('Unit Economics'!B19)*F7*12</f>
        <v>1.872</v>
      </c>
      <c r="G19" s="55" t="n">
        <f aca="false">('Unit Economics'!B19)*G7*12</f>
        <v>2.6208</v>
      </c>
    </row>
    <row r="20" customFormat="false" ht="15" hidden="false" customHeight="true" outlineLevel="0" collapsed="false">
      <c r="A20" s="14" t="s">
        <v>243</v>
      </c>
      <c r="B20" s="56" t="n">
        <f aca="false">SUM(B12:B19)</f>
        <v>69867.018</v>
      </c>
      <c r="C20" s="56" t="n">
        <f aca="false">SUM(C12:C19)</f>
        <v>209601.054</v>
      </c>
      <c r="D20" s="56" t="n">
        <f aca="false">SUM(D12:D19)</f>
        <v>524002.635</v>
      </c>
      <c r="E20" s="56" t="n">
        <f aca="false">SUM(E12:E19)</f>
        <v>1048005.27</v>
      </c>
      <c r="F20" s="56" t="n">
        <f aca="false">SUM(F12:F19)</f>
        <v>1676808.432</v>
      </c>
      <c r="G20" s="56" t="n">
        <f aca="false">SUM(G12:G19)</f>
        <v>2347531.8048</v>
      </c>
    </row>
    <row r="22" customFormat="false" ht="15" hidden="false" customHeight="true" outlineLevel="0" collapsed="false">
      <c r="A22" s="26" t="s">
        <v>244</v>
      </c>
    </row>
    <row r="23" customFormat="false" ht="15" hidden="false" customHeight="true" outlineLevel="0" collapsed="false">
      <c r="A23" s="14" t="s">
        <v>245</v>
      </c>
      <c r="B23" s="55" t="n">
        <f aca="false">('Unit Economics'!B23+'Unit Economics'!B24+'Unit Economics'!B25+'Unit Economics'!B26+'Unit Economics'!B27)*B7*12</f>
        <v>33759.18</v>
      </c>
      <c r="C23" s="55" t="n">
        <f aca="false">('Unit Economics'!B23+'Unit Economics'!B24+'Unit Economics'!B25+'Unit Economics'!B26+'Unit Economics'!B27)*C7*12</f>
        <v>101277.54</v>
      </c>
      <c r="D23" s="55" t="n">
        <f aca="false">('Unit Economics'!B23+'Unit Economics'!B24+'Unit Economics'!B25+'Unit Economics'!B26+'Unit Economics'!B27)*D7*12</f>
        <v>253193.85</v>
      </c>
      <c r="E23" s="55" t="n">
        <f aca="false">('Unit Economics'!B23+'Unit Economics'!B24+'Unit Economics'!B25+'Unit Economics'!B26+'Unit Economics'!B27)*E7*12</f>
        <v>506387.7</v>
      </c>
      <c r="F23" s="55" t="n">
        <f aca="false">('Unit Economics'!B23+'Unit Economics'!B24+'Unit Economics'!B25+'Unit Economics'!B26+'Unit Economics'!B27)*F7*12</f>
        <v>810220.32</v>
      </c>
      <c r="G23" s="55" t="n">
        <f aca="false">('Unit Economics'!B23+'Unit Economics'!B24+'Unit Economics'!B25+'Unit Economics'!B26+'Unit Economics'!B27)*G7*12</f>
        <v>1134308.448</v>
      </c>
    </row>
    <row r="24" customFormat="false" ht="15" hidden="false" customHeight="true" outlineLevel="0" collapsed="false">
      <c r="A24" s="14" t="s">
        <v>174</v>
      </c>
      <c r="B24" s="55" t="n">
        <f aca="false">'Unit Economics'!B28*B7*12</f>
        <v>0</v>
      </c>
      <c r="C24" s="55" t="n">
        <f aca="false">'Unit Economics'!B28*C7*12</f>
        <v>0</v>
      </c>
      <c r="D24" s="55" t="n">
        <f aca="false">'Unit Economics'!B28*D7*12</f>
        <v>0</v>
      </c>
      <c r="E24" s="55" t="n">
        <f aca="false">'Unit Economics'!B28*E7*12</f>
        <v>0</v>
      </c>
      <c r="F24" s="55" t="n">
        <f aca="false">'Unit Economics'!B28*F7*12</f>
        <v>0</v>
      </c>
      <c r="G24" s="55" t="n">
        <f aca="false">'Unit Economics'!B28*G7*12</f>
        <v>0</v>
      </c>
    </row>
    <row r="25" customFormat="false" ht="15" hidden="false" customHeight="true" outlineLevel="0" collapsed="false">
      <c r="A25" s="14" t="s">
        <v>175</v>
      </c>
      <c r="B25" s="55" t="n">
        <f aca="false">'Unit Economics'!B29*B7*12</f>
        <v>0</v>
      </c>
      <c r="C25" s="55" t="n">
        <f aca="false">'Unit Economics'!B29*C7*12</f>
        <v>0</v>
      </c>
      <c r="D25" s="55" t="n">
        <f aca="false">'Unit Economics'!B29*D7*12</f>
        <v>0</v>
      </c>
      <c r="E25" s="55" t="n">
        <f aca="false">'Unit Economics'!B29*E7*12</f>
        <v>0</v>
      </c>
      <c r="F25" s="55" t="n">
        <f aca="false">'Unit Economics'!B29*F7*12</f>
        <v>0</v>
      </c>
      <c r="G25" s="55" t="n">
        <f aca="false">'Unit Economics'!B29*G7*12</f>
        <v>0</v>
      </c>
    </row>
    <row r="26" customFormat="false" ht="15" hidden="false" customHeight="true" outlineLevel="0" collapsed="false">
      <c r="A26" s="14" t="s">
        <v>246</v>
      </c>
      <c r="B26" s="55" t="n">
        <f aca="false">'Revenue Model'!B80*B6</f>
        <v>0</v>
      </c>
      <c r="C26" s="55" t="n">
        <f aca="false">'Revenue Model'!B80*(C6-B6)</f>
        <v>0</v>
      </c>
      <c r="D26" s="55" t="n">
        <f aca="false">'Revenue Model'!B80*(D6-C6)</f>
        <v>0</v>
      </c>
      <c r="E26" s="55" t="n">
        <f aca="false">'Revenue Model'!B80*(E6-D6)</f>
        <v>0</v>
      </c>
      <c r="F26" s="55" t="n">
        <f aca="false">'Revenue Model'!B80*(F6-E6)</f>
        <v>0</v>
      </c>
      <c r="G26" s="55" t="n">
        <f aca="false">'Revenue Model'!B80*(G6-F6)</f>
        <v>0</v>
      </c>
    </row>
    <row r="27" customFormat="false" ht="15" hidden="false" customHeight="true" outlineLevel="0" collapsed="false">
      <c r="A27" s="14" t="s">
        <v>247</v>
      </c>
      <c r="B27" s="57" t="n">
        <v>500000</v>
      </c>
      <c r="C27" s="57" t="n">
        <v>750000</v>
      </c>
      <c r="D27" s="57" t="n">
        <v>1200000</v>
      </c>
      <c r="E27" s="57" t="n">
        <v>1800000</v>
      </c>
      <c r="F27" s="57" t="n">
        <v>2500000</v>
      </c>
      <c r="G27" s="57" t="n">
        <v>3500000</v>
      </c>
    </row>
    <row r="28" customFormat="false" ht="15" hidden="false" customHeight="true" outlineLevel="0" collapsed="false">
      <c r="A28" s="14" t="s">
        <v>248</v>
      </c>
      <c r="B28" s="57" t="n">
        <v>150000</v>
      </c>
      <c r="C28" s="57" t="n">
        <v>300000</v>
      </c>
      <c r="D28" s="57" t="n">
        <v>600000</v>
      </c>
      <c r="E28" s="57" t="n">
        <v>1000000</v>
      </c>
      <c r="F28" s="57" t="n">
        <v>1500000</v>
      </c>
      <c r="G28" s="57" t="n">
        <v>2200000</v>
      </c>
    </row>
    <row r="29" customFormat="false" ht="15" hidden="false" customHeight="true" outlineLevel="0" collapsed="false">
      <c r="A29" s="14" t="s">
        <v>249</v>
      </c>
      <c r="B29" s="57" t="n">
        <v>200000</v>
      </c>
      <c r="C29" s="57" t="n">
        <v>350000</v>
      </c>
      <c r="D29" s="57" t="n">
        <v>550000</v>
      </c>
      <c r="E29" s="57" t="n">
        <v>800000</v>
      </c>
      <c r="F29" s="57" t="n">
        <v>1100000</v>
      </c>
      <c r="G29" s="57" t="n">
        <v>1500000</v>
      </c>
    </row>
    <row r="30" customFormat="false" ht="15" hidden="false" customHeight="true" outlineLevel="0" collapsed="false">
      <c r="A30" s="14" t="s">
        <v>250</v>
      </c>
      <c r="B30" s="31" t="n">
        <f aca="false">SUM(B24:B29)</f>
        <v>850000</v>
      </c>
      <c r="C30" s="31" t="n">
        <f aca="false">SUM(C24:C29)</f>
        <v>1400000</v>
      </c>
      <c r="D30" s="31" t="n">
        <f aca="false">SUM(D24:D29)</f>
        <v>2350000</v>
      </c>
      <c r="E30" s="31" t="n">
        <f aca="false">SUM(E24:E29)</f>
        <v>3600000</v>
      </c>
      <c r="F30" s="31" t="n">
        <f aca="false">SUM(F24:F29)</f>
        <v>5100000</v>
      </c>
      <c r="G30" s="31" t="n">
        <f aca="false">SUM(G24:G29)</f>
        <v>7200000</v>
      </c>
    </row>
    <row r="32" customFormat="false" ht="15" hidden="false" customHeight="true" outlineLevel="0" collapsed="false">
      <c r="A32" s="26" t="s">
        <v>251</v>
      </c>
    </row>
    <row r="33" customFormat="false" ht="15" hidden="false" customHeight="true" outlineLevel="0" collapsed="false">
      <c r="A33" s="14" t="s">
        <v>16</v>
      </c>
      <c r="B33" s="48" t="n">
        <f aca="false">B21-B31</f>
        <v>0</v>
      </c>
      <c r="C33" s="48" t="n">
        <f aca="false">C21-C31</f>
        <v>0</v>
      </c>
      <c r="D33" s="48" t="n">
        <f aca="false">D21-D31</f>
        <v>0</v>
      </c>
      <c r="E33" s="48" t="n">
        <f aca="false">E21-E31</f>
        <v>0</v>
      </c>
      <c r="F33" s="48" t="n">
        <f aca="false">F21-F31</f>
        <v>0</v>
      </c>
      <c r="G33" s="48" t="n">
        <f aca="false">G21-G31</f>
        <v>0</v>
      </c>
    </row>
    <row r="34" customFormat="false" ht="15" hidden="false" customHeight="true" outlineLevel="0" collapsed="false">
      <c r="A34" s="14" t="s">
        <v>252</v>
      </c>
      <c r="B34" s="58" t="n">
        <f aca="false">IF(B21=0,0,B34/B21)</f>
        <v>0</v>
      </c>
      <c r="C34" s="58" t="n">
        <f aca="false">IF(C21=0,0,C34/C21)</f>
        <v>0</v>
      </c>
      <c r="D34" s="58" t="n">
        <f aca="false">IF(D21=0,0,D34/D21)</f>
        <v>0</v>
      </c>
      <c r="E34" s="58" t="n">
        <f aca="false">IF(E21=0,0,E34/E21)</f>
        <v>0</v>
      </c>
      <c r="F34" s="58" t="n">
        <f aca="false">IF(F21=0,0,F34/F21)</f>
        <v>0</v>
      </c>
      <c r="G34" s="58" t="n">
        <f aca="false">IF(G21=0,0,G34/G21)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2026-02-05T12:44:05Z</dcterms:created>
  <dc:creator>openpyxl</dc:creator>
  <dc:description/>
  <dc:language>en-US</dc:language>
  <cp:lastModifiedBy/>
  <dcterms:modified xsi:type="dcterms:W3CDTF">2026-02-05T12:45:47Z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